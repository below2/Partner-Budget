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827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brend\Documents\Housing\Budgeting\Budget_Template\"/>
    </mc:Choice>
  </mc:AlternateContent>
  <xr:revisionPtr revIDLastSave="0" documentId="13_ncr:1_{172C429B-F5DA-4B8D-8CEE-23075C56C5F4}" xr6:coauthVersionLast="47" xr6:coauthVersionMax="47" xr10:uidLastSave="{00000000-0000-0000-0000-000000000000}"/>
  <bookViews>
    <workbookView xWindow="-120" yWindow="-120" windowWidth="29040" windowHeight="15840" tabRatio="448" activeTab="3" xr2:uid="{1375E6FD-6A4D-40C5-B66E-179C922AB7DD}"/>
  </bookViews>
  <sheets>
    <sheet name="Entries" sheetId="1" r:id="rId1"/>
    <sheet name="Year Split ($)" sheetId="2" r:id="rId2"/>
    <sheet name="Year Total ($)" sheetId="3" r:id="rId3"/>
    <sheet name="Accounts" sheetId="6" r:id="rId4"/>
    <sheet name="Log" sheetId="7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J2" i="6" l="1"/>
  <c r="I5" i="6"/>
  <c r="K5" i="6" s="1"/>
  <c r="I6" i="6"/>
  <c r="K6" i="6" s="1"/>
  <c r="I7" i="6"/>
  <c r="K7" i="6" s="1"/>
  <c r="L5" i="6" l="1"/>
  <c r="I2" i="6"/>
  <c r="U28" i="2" l="1"/>
  <c r="U14" i="2"/>
  <c r="AR28" i="2"/>
  <c r="AR14" i="2"/>
  <c r="U28" i="3"/>
  <c r="U14" i="3"/>
  <c r="G4" i="6" l="1"/>
  <c r="D7" i="6" s="1"/>
  <c r="G7" i="6" s="1"/>
  <c r="G3" i="6"/>
  <c r="D6" i="6" s="1"/>
  <c r="G6" i="6" s="1"/>
  <c r="G2" i="6"/>
  <c r="D5" i="6" s="1"/>
  <c r="G5" i="6" s="1"/>
  <c r="H5" i="6" l="1"/>
  <c r="H2" i="6"/>
  <c r="C28" i="3"/>
  <c r="C28" i="2"/>
  <c r="Z28" i="2"/>
  <c r="AA28" i="2"/>
  <c r="AB28" i="2"/>
  <c r="AC28" i="2"/>
  <c r="AT12" i="2"/>
  <c r="AT13" i="2"/>
  <c r="S28" i="3"/>
  <c r="T28" i="3"/>
  <c r="R14" i="3"/>
  <c r="S14" i="3"/>
  <c r="T14" i="3"/>
  <c r="V14" i="3"/>
  <c r="B14" i="3"/>
  <c r="C14" i="3"/>
  <c r="D14" i="3"/>
  <c r="Z14" i="2"/>
  <c r="C14" i="2"/>
  <c r="H14" i="3" l="1"/>
  <c r="I14" i="3"/>
  <c r="J14" i="3"/>
  <c r="K14" i="3"/>
  <c r="L14" i="3"/>
  <c r="R28" i="3"/>
  <c r="V28" i="3"/>
  <c r="H28" i="3"/>
  <c r="I28" i="3"/>
  <c r="J28" i="3"/>
  <c r="K28" i="3"/>
  <c r="L28" i="3"/>
  <c r="AT3" i="2"/>
  <c r="AT4" i="2"/>
  <c r="AT5" i="2"/>
  <c r="AT6" i="2"/>
  <c r="AT7" i="2"/>
  <c r="AT8" i="2"/>
  <c r="AT9" i="2"/>
  <c r="AT10" i="2"/>
  <c r="AT11" i="2"/>
  <c r="AT27" i="2"/>
  <c r="W27" i="2"/>
  <c r="AT26" i="2"/>
  <c r="W26" i="2"/>
  <c r="AT25" i="2"/>
  <c r="W25" i="2"/>
  <c r="AT24" i="2"/>
  <c r="W24" i="2"/>
  <c r="AT23" i="2"/>
  <c r="W23" i="2"/>
  <c r="AT22" i="2"/>
  <c r="W22" i="2"/>
  <c r="AT21" i="2"/>
  <c r="W21" i="2"/>
  <c r="AT20" i="2"/>
  <c r="W20" i="2"/>
  <c r="AT19" i="2"/>
  <c r="W19" i="2"/>
  <c r="AT18" i="2"/>
  <c r="W18" i="2"/>
  <c r="AT17" i="2"/>
  <c r="W17" i="2"/>
  <c r="AS28" i="2"/>
  <c r="AQ28" i="2"/>
  <c r="AP28" i="2"/>
  <c r="AO28" i="2"/>
  <c r="AN28" i="2"/>
  <c r="AM28" i="2"/>
  <c r="AL28" i="2"/>
  <c r="AK28" i="2"/>
  <c r="AJ28" i="2"/>
  <c r="AI28" i="2"/>
  <c r="AH28" i="2"/>
  <c r="AG28" i="2"/>
  <c r="AF28" i="2"/>
  <c r="AE28" i="2"/>
  <c r="AD28" i="2"/>
  <c r="AT28" i="2"/>
  <c r="V28" i="2"/>
  <c r="T28" i="2"/>
  <c r="S28" i="2"/>
  <c r="R28" i="2"/>
  <c r="Q28" i="2"/>
  <c r="P28" i="2"/>
  <c r="O28" i="2"/>
  <c r="N28" i="2"/>
  <c r="M28" i="2"/>
  <c r="L28" i="2"/>
  <c r="K28" i="2"/>
  <c r="J28" i="2"/>
  <c r="I28" i="2"/>
  <c r="H28" i="2"/>
  <c r="G28" i="2"/>
  <c r="F28" i="2"/>
  <c r="E28" i="2"/>
  <c r="D28" i="2"/>
  <c r="W28" i="2"/>
  <c r="W13" i="2"/>
  <c r="W12" i="2"/>
  <c r="W11" i="2"/>
  <c r="W10" i="2"/>
  <c r="W9" i="2"/>
  <c r="W8" i="2"/>
  <c r="W7" i="2"/>
  <c r="W6" i="2"/>
  <c r="W5" i="2"/>
  <c r="W4" i="2"/>
  <c r="W3" i="2"/>
  <c r="AS14" i="2"/>
  <c r="AQ14" i="2"/>
  <c r="AP14" i="2"/>
  <c r="AO14" i="2"/>
  <c r="AN14" i="2"/>
  <c r="AM14" i="2"/>
  <c r="AL14" i="2"/>
  <c r="AK14" i="2"/>
  <c r="AJ14" i="2"/>
  <c r="AI14" i="2"/>
  <c r="AH14" i="2"/>
  <c r="AG14" i="2"/>
  <c r="AF14" i="2"/>
  <c r="AE14" i="2"/>
  <c r="AD14" i="2"/>
  <c r="AC14" i="2"/>
  <c r="AB14" i="2"/>
  <c r="AA14" i="2"/>
  <c r="AT14" i="2"/>
  <c r="V14" i="2"/>
  <c r="T14" i="2"/>
  <c r="S14" i="2"/>
  <c r="R14" i="2"/>
  <c r="Q14" i="2"/>
  <c r="P14" i="2"/>
  <c r="O14" i="2"/>
  <c r="N14" i="2"/>
  <c r="M14" i="2"/>
  <c r="L14" i="2"/>
  <c r="K14" i="2"/>
  <c r="J14" i="2"/>
  <c r="I14" i="2"/>
  <c r="H14" i="2"/>
  <c r="G14" i="2"/>
  <c r="F14" i="2"/>
  <c r="E14" i="2"/>
  <c r="D14" i="2"/>
  <c r="W14" i="2"/>
  <c r="Y14" i="2" l="1"/>
  <c r="B14" i="2"/>
  <c r="B28" i="2"/>
  <c r="W2" i="2"/>
  <c r="W16" i="2"/>
  <c r="Y28" i="2"/>
  <c r="AT2" i="2"/>
  <c r="AT16" i="2"/>
  <c r="W20" i="3" l="1"/>
  <c r="X26" i="3"/>
  <c r="X19" i="3"/>
  <c r="X23" i="3"/>
  <c r="W25" i="3"/>
  <c r="M28" i="3"/>
  <c r="X18" i="3"/>
  <c r="W22" i="3"/>
  <c r="N28" i="3"/>
  <c r="W18" i="3"/>
  <c r="X25" i="3"/>
  <c r="X22" i="3"/>
  <c r="W24" i="3"/>
  <c r="P28" i="3"/>
  <c r="W19" i="3"/>
  <c r="W21" i="3"/>
  <c r="X27" i="3"/>
  <c r="O28" i="3"/>
  <c r="Q28" i="3"/>
  <c r="X20" i="3"/>
  <c r="X24" i="3"/>
  <c r="W26" i="3"/>
  <c r="X21" i="3"/>
  <c r="W23" i="3"/>
  <c r="G28" i="3"/>
  <c r="W17" i="3"/>
  <c r="X17" i="3"/>
  <c r="E28" i="3"/>
  <c r="D28" i="3"/>
  <c r="F28" i="3"/>
  <c r="W28" i="3"/>
  <c r="W27" i="3"/>
  <c r="B28" i="3"/>
  <c r="W16" i="3"/>
  <c r="X10" i="3" l="1"/>
  <c r="X13" i="3"/>
  <c r="X8" i="3"/>
  <c r="X11" i="3"/>
  <c r="X9" i="3"/>
  <c r="X12" i="3"/>
  <c r="X5" i="3"/>
  <c r="X3" i="3"/>
  <c r="X6" i="3"/>
  <c r="X4" i="3"/>
  <c r="X7" i="3"/>
  <c r="M14" i="3"/>
  <c r="E14" i="3"/>
  <c r="Q14" i="3"/>
  <c r="N14" i="3"/>
  <c r="P14" i="3"/>
  <c r="O14" i="3"/>
  <c r="G14" i="3"/>
  <c r="F14" i="3"/>
  <c r="W4" i="3"/>
  <c r="W3" i="3"/>
  <c r="W2" i="3"/>
  <c r="W5" i="3" l="1"/>
  <c r="W6" i="3" l="1"/>
  <c r="W7" i="3" l="1"/>
  <c r="W8" i="3" l="1"/>
  <c r="W9" i="3" l="1"/>
  <c r="W10" i="3" l="1"/>
  <c r="W11" i="3" l="1"/>
  <c r="W12" i="3" l="1"/>
  <c r="W13" i="3" l="1"/>
  <c r="W14" i="3"/>
  <c r="I3" i="6"/>
  <c r="K3" i="6" s="1"/>
  <c r="I4" i="6"/>
  <c r="K4" i="6" s="1"/>
  <c r="K2" i="6"/>
  <c r="L2" i="6" l="1"/>
</calcChain>
</file>

<file path=xl/sharedStrings.xml><?xml version="1.0" encoding="utf-8"?>
<sst xmlns="http://schemas.openxmlformats.org/spreadsheetml/2006/main" count="194" uniqueCount="42">
  <si>
    <t>Date</t>
  </si>
  <si>
    <t>Category</t>
  </si>
  <si>
    <t>Split</t>
  </si>
  <si>
    <t>Comment</t>
  </si>
  <si>
    <t>Income</t>
  </si>
  <si>
    <t>Rent</t>
  </si>
  <si>
    <t>Electric</t>
  </si>
  <si>
    <t>Insurance</t>
  </si>
  <si>
    <t>Wifi</t>
  </si>
  <si>
    <t>Gas</t>
  </si>
  <si>
    <t>Grocery</t>
  </si>
  <si>
    <t>Restaurant</t>
  </si>
  <si>
    <t>Household</t>
  </si>
  <si>
    <t>Clothing</t>
  </si>
  <si>
    <t>Alcohol</t>
  </si>
  <si>
    <t>Subscriptions</t>
  </si>
  <si>
    <t>2022 (B)</t>
  </si>
  <si>
    <t>2022 (D)</t>
  </si>
  <si>
    <t>Dentist</t>
  </si>
  <si>
    <t>2023 (B)</t>
  </si>
  <si>
    <t>2023 (D)</t>
  </si>
  <si>
    <t>Medical</t>
  </si>
  <si>
    <t>Car</t>
  </si>
  <si>
    <t>Entertainment</t>
  </si>
  <si>
    <t>Gifts</t>
  </si>
  <si>
    <t>Transportation</t>
  </si>
  <si>
    <t>Amount</t>
  </si>
  <si>
    <t>Account</t>
  </si>
  <si>
    <t>USAA</t>
  </si>
  <si>
    <t>First entry</t>
  </si>
  <si>
    <t>Last entry</t>
  </si>
  <si>
    <t>Capital One</t>
  </si>
  <si>
    <t>Venmo</t>
  </si>
  <si>
    <t>Initial</t>
  </si>
  <si>
    <t>Paid</t>
  </si>
  <si>
    <t>Remaining</t>
  </si>
  <si>
    <t>Misc</t>
  </si>
  <si>
    <t>Paid Adjusted</t>
  </si>
  <si>
    <t>Paycheck</t>
  </si>
  <si>
    <t>Drugs</t>
  </si>
  <si>
    <t>Transfer Out</t>
  </si>
  <si>
    <t>Transfer In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</si>
</sst>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7" formatCode="&quot;$&quot;#,##0.00_);\(&quot;$&quot;#,##0.00\)"/>
    <numFmt numFmtId="44" formatCode="_(&quot;$&quot;* #,##0.00_);_(&quot;$&quot;* \(#,##0.00\);_(&quot;$&quot;* &quot;-&quot;??_);_(@_)"/>
    <numFmt numFmtId="164" formatCode="mmmm"/>
    <numFmt numFmtId="165" formatCode="&quot;$&quot;#,##0.00"/>
  </numFmts>
  <fonts count="7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</fills>
  <borders count="18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thick">
        <color theme="7"/>
      </bottom>
      <diagonal/>
    </border>
    <border>
      <left/>
      <right/>
      <top style="thin">
        <color theme="7"/>
      </top>
      <bottom style="double">
        <color theme="7"/>
      </bottom>
      <diagonal/>
    </border>
    <border>
      <left/>
      <right/>
      <top/>
      <bottom style="thick">
        <color theme="9"/>
      </bottom>
      <diagonal/>
    </border>
    <border>
      <left/>
      <right/>
      <top style="thin">
        <color theme="9"/>
      </top>
      <bottom style="double">
        <color theme="9"/>
      </bottom>
      <diagonal/>
    </border>
    <border>
      <left/>
      <right style="double">
        <color theme="4"/>
      </right>
      <top/>
      <bottom/>
      <diagonal/>
    </border>
    <border>
      <left/>
      <right/>
      <top/>
      <bottom style="thin">
        <color theme="4"/>
      </bottom>
      <diagonal/>
    </border>
    <border>
      <left/>
      <right style="thin">
        <color theme="4"/>
      </right>
      <top/>
      <bottom style="thin">
        <color theme="4"/>
      </bottom>
      <diagonal/>
    </border>
    <border>
      <left/>
      <right style="double">
        <color theme="4"/>
      </right>
      <top/>
      <bottom style="thin">
        <color theme="4"/>
      </bottom>
      <diagonal/>
    </border>
    <border>
      <left/>
      <right style="thin">
        <color theme="4"/>
      </right>
      <top/>
      <bottom/>
      <diagonal/>
    </border>
    <border>
      <left/>
      <right/>
      <top/>
      <bottom style="thin">
        <color theme="9"/>
      </bottom>
      <diagonal/>
    </border>
    <border>
      <left/>
      <right style="double">
        <color theme="9"/>
      </right>
      <top/>
      <bottom/>
      <diagonal/>
    </border>
    <border>
      <left/>
      <right style="double">
        <color theme="9"/>
      </right>
      <top/>
      <bottom style="thin">
        <color theme="9"/>
      </bottom>
      <diagonal/>
    </border>
    <border>
      <left style="thin">
        <color theme="4"/>
      </left>
      <right/>
      <top/>
      <bottom/>
      <diagonal/>
    </border>
    <border>
      <left style="thin">
        <color theme="4"/>
      </left>
      <right/>
      <top/>
      <bottom style="thin">
        <color theme="4"/>
      </bottom>
      <diagonal/>
    </border>
    <border>
      <left/>
      <right/>
      <top/>
      <bottom style="thin">
        <color indexed="64"/>
      </bottom>
      <diagonal/>
    </border>
  </borders>
  <cellStyleXfs count="9">
    <xf numFmtId="0" fontId="0" fillId="0" borderId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3" fillId="0" borderId="3"/>
    <xf numFmtId="44" fontId="4" fillId="0" borderId="4"/>
    <xf numFmtId="0" fontId="3" fillId="0" borderId="5"/>
    <xf numFmtId="44" fontId="4" fillId="0" borderId="6"/>
  </cellStyleXfs>
  <cellXfs count="44">
    <xf numFmtId="0" fontId="0" fillId="0" borderId="0" xfId="0"/>
    <xf numFmtId="14" fontId="0" fillId="0" borderId="0" xfId="0" applyNumberFormat="1"/>
    <xf numFmtId="44" fontId="0" fillId="0" borderId="0" xfId="0" applyNumberFormat="1"/>
    <xf numFmtId="49" fontId="0" fillId="0" borderId="0" xfId="0" applyNumberFormat="1"/>
    <xf numFmtId="164" fontId="2" fillId="2" borderId="0" xfId="3" applyNumberFormat="1" applyAlignment="1">
      <alignment horizontal="left"/>
    </xf>
    <xf numFmtId="44" fontId="4" fillId="0" borderId="2" xfId="2" applyNumberFormat="1"/>
    <xf numFmtId="0" fontId="3" fillId="0" borderId="1" xfId="1"/>
    <xf numFmtId="0" fontId="2" fillId="3" borderId="0" xfId="4"/>
    <xf numFmtId="164" fontId="2" fillId="3" borderId="0" xfId="4" applyNumberFormat="1" applyAlignment="1">
      <alignment horizontal="left"/>
    </xf>
    <xf numFmtId="0" fontId="3" fillId="0" borderId="5" xfId="7"/>
    <xf numFmtId="44" fontId="4" fillId="0" borderId="6" xfId="8"/>
    <xf numFmtId="0" fontId="2" fillId="2" borderId="0" xfId="3" applyAlignment="1">
      <alignment horizontal="left"/>
    </xf>
    <xf numFmtId="0" fontId="3" fillId="0" borderId="1" xfId="1" applyAlignment="1">
      <alignment horizontal="left"/>
    </xf>
    <xf numFmtId="44" fontId="5" fillId="0" borderId="2" xfId="2" applyNumberFormat="1" applyFont="1"/>
    <xf numFmtId="44" fontId="5" fillId="0" borderId="6" xfId="8" applyFont="1"/>
    <xf numFmtId="165" fontId="0" fillId="0" borderId="0" xfId="0" applyNumberFormat="1"/>
    <xf numFmtId="44" fontId="2" fillId="0" borderId="0" xfId="8" applyFont="1" applyBorder="1"/>
    <xf numFmtId="0" fontId="2" fillId="3" borderId="0" xfId="4" applyAlignment="1">
      <alignment horizontal="left"/>
    </xf>
    <xf numFmtId="44" fontId="0" fillId="0" borderId="7" xfId="0" applyNumberFormat="1" applyBorder="1"/>
    <xf numFmtId="0" fontId="2" fillId="2" borderId="0" xfId="3" applyBorder="1"/>
    <xf numFmtId="44" fontId="0" fillId="0" borderId="10" xfId="0" applyNumberFormat="1" applyBorder="1"/>
    <xf numFmtId="0" fontId="0" fillId="0" borderId="11" xfId="0" applyBorder="1"/>
    <xf numFmtId="0" fontId="0" fillId="0" borderId="9" xfId="0" applyBorder="1"/>
    <xf numFmtId="0" fontId="2" fillId="3" borderId="0" xfId="4" applyBorder="1"/>
    <xf numFmtId="14" fontId="0" fillId="0" borderId="8" xfId="0" applyNumberFormat="1" applyBorder="1"/>
    <xf numFmtId="44" fontId="0" fillId="0" borderId="12" xfId="0" applyNumberFormat="1" applyBorder="1"/>
    <xf numFmtId="44" fontId="0" fillId="0" borderId="13" xfId="0" applyNumberFormat="1" applyBorder="1"/>
    <xf numFmtId="44" fontId="0" fillId="0" borderId="14" xfId="0" applyNumberFormat="1" applyBorder="1"/>
    <xf numFmtId="1" fontId="0" fillId="0" borderId="0" xfId="0" applyNumberFormat="1" applyAlignment="1">
      <alignment horizontal="left"/>
    </xf>
    <xf numFmtId="44" fontId="0" fillId="0" borderId="15" xfId="0" applyNumberFormat="1" applyBorder="1"/>
    <xf numFmtId="7" fontId="0" fillId="0" borderId="0" xfId="0" applyNumberFormat="1"/>
    <xf numFmtId="44" fontId="0" fillId="0" borderId="16" xfId="0" applyNumberFormat="1" applyBorder="1"/>
    <xf numFmtId="1" fontId="0" fillId="0" borderId="0" xfId="0" applyNumberFormat="1" applyAlignment="1">
      <alignment horizontal="right"/>
    </xf>
    <xf numFmtId="165" fontId="0" fillId="0" borderId="8" xfId="0" applyNumberFormat="1" applyBorder="1"/>
    <xf numFmtId="165" fontId="0" fillId="0" borderId="0" xfId="0" applyNumberFormat="1" applyAlignment="1">
      <alignment horizontal="center" vertical="center"/>
    </xf>
    <xf numFmtId="165" fontId="0" fillId="0" borderId="12" xfId="0" applyNumberFormat="1" applyBorder="1" applyAlignment="1">
      <alignment horizontal="center" vertical="center"/>
    </xf>
    <xf numFmtId="44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8" xfId="0" applyBorder="1" applyAlignment="1">
      <alignment horizontal="center" vertical="center"/>
    </xf>
    <xf numFmtId="44" fontId="0" fillId="0" borderId="12" xfId="0" applyNumberFormat="1" applyBorder="1" applyAlignment="1">
      <alignment horizontal="center" vertical="center"/>
    </xf>
    <xf numFmtId="14" fontId="0" fillId="0" borderId="17" xfId="0" applyNumberFormat="1" applyBorder="1"/>
    <xf numFmtId="49" fontId="0" fillId="0" borderId="17" xfId="0" applyNumberFormat="1" applyBorder="1"/>
    <xf numFmtId="1" fontId="0" fillId="0" borderId="17" xfId="0" applyNumberFormat="1" applyBorder="1" applyAlignment="1">
      <alignment horizontal="right"/>
    </xf>
    <xf numFmtId="44" fontId="0" fillId="0" borderId="17" xfId="0" applyNumberFormat="1" applyBorder="1"/>
  </cellXfs>
  <cellStyles count="9">
    <cellStyle name="60% - Accent5" xfId="3" builtinId="48"/>
    <cellStyle name="60% - Accent6" xfId="4" builtinId="52"/>
    <cellStyle name="Heading 1" xfId="1" builtinId="16"/>
    <cellStyle name="Normal" xfId="0" builtinId="0"/>
    <cellStyle name="Style 1" xfId="5" xr:uid="{0BD80E2D-B499-4A37-9BFD-D08051404D3A}"/>
    <cellStyle name="Style 2" xfId="6" xr:uid="{16B3C1C6-A410-43D5-BD00-729954AC3554}"/>
    <cellStyle name="Style 3" xfId="7" xr:uid="{744A1072-F87D-4656-B946-FA8D5D599C15}"/>
    <cellStyle name="Style 4" xfId="8" xr:uid="{C83F2968-E847-40CD-AF78-270DE55BBC6B}"/>
    <cellStyle name="Total" xfId="2" builtinId="25"/>
  </cellStyles>
  <dxfs count="6">
    <dxf>
      <numFmt numFmtId="30" formatCode="@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1" formatCode="0"/>
      <alignment horizontal="right" vertical="bottom" textRotation="0" wrapText="0" indent="0" justifyLastLine="0" shrinkToFit="0" readingOrder="0"/>
    </dxf>
    <dxf>
      <numFmt numFmtId="30" formatCode="@"/>
    </dxf>
    <dxf>
      <numFmt numFmtId="19" formatCode="m/d/yyyy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9525</xdr:colOff>
          <xdr:row>1</xdr:row>
          <xdr:rowOff>9525</xdr:rowOff>
        </xdr:from>
        <xdr:to>
          <xdr:col>9</xdr:col>
          <xdr:colOff>9525</xdr:colOff>
          <xdr:row>2</xdr:row>
          <xdr:rowOff>180975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Process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04A6C22-CD8A-46B3-8C2A-28F7DB07F8BB}" name="Input" displayName="Input" ref="A1:F15" totalsRowShown="0">
  <autoFilter ref="A1:F15" xr:uid="{804A6C22-CD8A-46B3-8C2A-28F7DB07F8BB}"/>
  <sortState xmlns:xlrd2="http://schemas.microsoft.com/office/spreadsheetml/2017/richdata2" ref="A2:F2">
    <sortCondition ref="A1:A2"/>
  </sortState>
  <tableColumns count="6">
    <tableColumn id="1" xr3:uid="{B4F63FB2-24CF-4093-BA0B-2C377B0D633B}" name="Date" dataDxfId="5"/>
    <tableColumn id="2" xr3:uid="{3CCC3F05-7DBF-421E-B507-C8E46E355917}" name="Category" dataDxfId="4"/>
    <tableColumn id="3" xr3:uid="{CA32066D-791A-4B98-99AE-312D51161BC2}" name="Split" dataDxfId="3"/>
    <tableColumn id="4" xr3:uid="{5EE94FD8-F28C-495C-8515-356D388F2A4F}" name="Amount" dataDxfId="2"/>
    <tableColumn id="6" xr3:uid="{3A572157-75C6-4DB6-AB8B-8247492816A5}" name="Account" dataDxfId="1"/>
    <tableColumn id="5" xr3:uid="{943CDA21-0279-4437-B1A3-ADFBA8A2C477}" name="Comment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5A33D6-AA0C-4924-8DD4-33AEC4B5F09A}">
  <sheetPr codeName="Sheet1"/>
  <dimension ref="A1:F15"/>
  <sheetViews>
    <sheetView zoomScaleNormal="100" workbookViewId="0">
      <pane ySplit="1" topLeftCell="A2" activePane="bottomLeft" state="frozen"/>
      <selection pane="bottomLeft" activeCell="E20" sqref="E20"/>
    </sheetView>
  </sheetViews>
  <sheetFormatPr defaultRowHeight="15" x14ac:dyDescent="0.25"/>
  <cols>
    <col min="1" max="1" width="10.7109375" bestFit="1" customWidth="1"/>
    <col min="2" max="2" width="14.140625" bestFit="1" customWidth="1"/>
    <col min="3" max="3" width="7.28515625" style="32" bestFit="1" customWidth="1"/>
    <col min="4" max="4" width="11.85546875" style="15" bestFit="1" customWidth="1"/>
    <col min="5" max="5" width="11.85546875" style="2" customWidth="1"/>
    <col min="6" max="6" width="96.7109375" bestFit="1" customWidth="1"/>
  </cols>
  <sheetData>
    <row r="1" spans="1:6" x14ac:dyDescent="0.25">
      <c r="A1" t="s">
        <v>0</v>
      </c>
      <c r="B1" t="s">
        <v>1</v>
      </c>
      <c r="C1" s="28" t="s">
        <v>2</v>
      </c>
      <c r="D1" s="2" t="s">
        <v>26</v>
      </c>
      <c r="E1" s="2" t="s">
        <v>27</v>
      </c>
      <c r="F1" t="s">
        <v>3</v>
      </c>
    </row>
    <row r="2" spans="1:6" x14ac:dyDescent="0.25">
      <c r="A2" s="1">
        <v>44562</v>
      </c>
      <c r="B2" s="3" t="s">
        <v>4</v>
      </c>
      <c r="C2" s="32">
        <v>1</v>
      </c>
      <c r="D2" s="2">
        <v>1000</v>
      </c>
      <c r="E2" s="2" t="s">
        <v>28</v>
      </c>
      <c r="F2" s="3" t="s">
        <v>3</v>
      </c>
    </row>
    <row r="3" spans="1:6" x14ac:dyDescent="0.25">
      <c r="A3" s="1">
        <v>44625</v>
      </c>
      <c r="B3" s="3" t="s">
        <v>5</v>
      </c>
      <c r="C3" s="32">
        <v>2</v>
      </c>
      <c r="D3" s="2">
        <v>500</v>
      </c>
      <c r="E3" s="2" t="s">
        <v>31</v>
      </c>
      <c r="F3" s="3" t="s">
        <v>3</v>
      </c>
    </row>
    <row r="4" spans="1:6" x14ac:dyDescent="0.25">
      <c r="A4" s="1">
        <v>44691</v>
      </c>
      <c r="B4" s="3" t="s">
        <v>38</v>
      </c>
      <c r="C4" s="32">
        <v>1</v>
      </c>
      <c r="D4" s="2">
        <v>200</v>
      </c>
      <c r="E4" s="2" t="s">
        <v>32</v>
      </c>
      <c r="F4" s="3" t="s">
        <v>3</v>
      </c>
    </row>
    <row r="5" spans="1:6" x14ac:dyDescent="0.25">
      <c r="A5" s="1">
        <v>44723</v>
      </c>
      <c r="B5" s="3" t="s">
        <v>38</v>
      </c>
      <c r="C5" s="32">
        <v>1</v>
      </c>
      <c r="D5" s="2">
        <v>200</v>
      </c>
      <c r="E5" s="2" t="s">
        <v>32</v>
      </c>
      <c r="F5" s="3" t="s">
        <v>3</v>
      </c>
    </row>
    <row r="6" spans="1:6" x14ac:dyDescent="0.25">
      <c r="A6" s="1">
        <v>44757</v>
      </c>
      <c r="B6" s="3" t="s">
        <v>6</v>
      </c>
      <c r="C6" s="32">
        <v>2</v>
      </c>
      <c r="D6" s="2">
        <v>100</v>
      </c>
      <c r="E6" s="2" t="s">
        <v>28</v>
      </c>
      <c r="F6" s="3" t="s">
        <v>3</v>
      </c>
    </row>
    <row r="7" spans="1:6" x14ac:dyDescent="0.25">
      <c r="A7" s="1">
        <v>44824</v>
      </c>
      <c r="B7" s="3" t="s">
        <v>10</v>
      </c>
      <c r="C7" s="32">
        <v>5</v>
      </c>
      <c r="D7" s="2">
        <v>50</v>
      </c>
      <c r="E7" s="2" t="s">
        <v>31</v>
      </c>
      <c r="F7" s="3" t="s">
        <v>3</v>
      </c>
    </row>
    <row r="8" spans="1:6" x14ac:dyDescent="0.25">
      <c r="A8" s="40">
        <v>44890</v>
      </c>
      <c r="B8" s="41" t="s">
        <v>36</v>
      </c>
      <c r="C8" s="42">
        <v>-1</v>
      </c>
      <c r="D8" s="43">
        <v>10</v>
      </c>
      <c r="E8" s="43" t="s">
        <v>32</v>
      </c>
      <c r="F8" s="41" t="s">
        <v>3</v>
      </c>
    </row>
    <row r="9" spans="1:6" x14ac:dyDescent="0.25">
      <c r="A9" s="1">
        <v>44926</v>
      </c>
      <c r="B9" s="3" t="s">
        <v>40</v>
      </c>
      <c r="C9" s="32">
        <v>0</v>
      </c>
      <c r="D9" s="2">
        <v>100</v>
      </c>
      <c r="E9" s="2" t="s">
        <v>28</v>
      </c>
      <c r="F9" s="3" t="s">
        <v>3</v>
      </c>
    </row>
    <row r="10" spans="1:6" x14ac:dyDescent="0.25">
      <c r="A10" s="1">
        <v>44927</v>
      </c>
      <c r="B10" s="3" t="s">
        <v>41</v>
      </c>
      <c r="C10" s="32">
        <v>0</v>
      </c>
      <c r="D10" s="2">
        <v>100</v>
      </c>
      <c r="E10" s="2" t="s">
        <v>31</v>
      </c>
      <c r="F10" s="3" t="s">
        <v>3</v>
      </c>
    </row>
    <row r="11" spans="1:6" x14ac:dyDescent="0.25">
      <c r="A11" s="1">
        <v>44959</v>
      </c>
      <c r="B11" s="3" t="s">
        <v>4</v>
      </c>
      <c r="C11" s="32">
        <v>2</v>
      </c>
      <c r="D11" s="2">
        <v>1000</v>
      </c>
      <c r="E11" s="2" t="s">
        <v>28</v>
      </c>
      <c r="F11" s="3" t="s">
        <v>3</v>
      </c>
    </row>
    <row r="12" spans="1:6" x14ac:dyDescent="0.25">
      <c r="A12" s="1">
        <v>45022</v>
      </c>
      <c r="B12" s="3" t="s">
        <v>5</v>
      </c>
      <c r="C12" s="32">
        <v>2</v>
      </c>
      <c r="D12" s="2">
        <v>500</v>
      </c>
      <c r="E12" s="2" t="s">
        <v>31</v>
      </c>
      <c r="F12" s="3" t="s">
        <v>3</v>
      </c>
    </row>
    <row r="13" spans="1:6" x14ac:dyDescent="0.25">
      <c r="A13" s="1">
        <v>45154</v>
      </c>
      <c r="B13" s="3" t="s">
        <v>6</v>
      </c>
      <c r="C13" s="32">
        <v>2</v>
      </c>
      <c r="D13" s="2">
        <v>100</v>
      </c>
      <c r="E13" s="2" t="s">
        <v>28</v>
      </c>
      <c r="F13" s="3" t="s">
        <v>3</v>
      </c>
    </row>
    <row r="14" spans="1:6" x14ac:dyDescent="0.25">
      <c r="A14" s="1">
        <v>45220</v>
      </c>
      <c r="B14" s="3" t="s">
        <v>10</v>
      </c>
      <c r="C14" s="32">
        <v>5</v>
      </c>
      <c r="D14" s="2">
        <v>50</v>
      </c>
      <c r="E14" s="2" t="s">
        <v>31</v>
      </c>
      <c r="F14" s="3" t="s">
        <v>3</v>
      </c>
    </row>
    <row r="15" spans="1:6" x14ac:dyDescent="0.25">
      <c r="A15" s="1">
        <v>45286</v>
      </c>
      <c r="B15" s="3" t="s">
        <v>36</v>
      </c>
      <c r="C15" s="32">
        <v>1</v>
      </c>
      <c r="D15" s="2">
        <v>10</v>
      </c>
      <c r="E15" s="2" t="s">
        <v>32</v>
      </c>
      <c r="F15" s="3" t="s">
        <v>3</v>
      </c>
    </row>
  </sheetData>
  <pageMargins left="0.7" right="0.7" top="0.75" bottom="0.75" header="0.3" footer="0.3"/>
  <pageSetup orientation="portrait" horizontalDpi="4294967293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howBudgetForm.ShowBudgetForm">
                <anchor>
                  <from>
                    <xdr:col>7</xdr:col>
                    <xdr:colOff>9525</xdr:colOff>
                    <xdr:row>1</xdr:row>
                    <xdr:rowOff>9525</xdr:rowOff>
                  </from>
                  <to>
                    <xdr:col>9</xdr:col>
                    <xdr:colOff>9525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844E33-A09D-452D-9246-513BB1B2A735}">
  <sheetPr codeName="Sheet3"/>
  <dimension ref="A1:AU29"/>
  <sheetViews>
    <sheetView topLeftCell="AA1" zoomScale="85" zoomScaleNormal="85" workbookViewId="0">
      <pane ySplit="1" topLeftCell="A2" activePane="bottomLeft" state="frozen"/>
      <selection pane="bottomLeft" activeCell="Y16" sqref="Y16:AS27"/>
    </sheetView>
  </sheetViews>
  <sheetFormatPr defaultColWidth="14.5703125" defaultRowHeight="15" x14ac:dyDescent="0.25"/>
  <cols>
    <col min="10" max="10" width="15" bestFit="1" customWidth="1"/>
  </cols>
  <sheetData>
    <row r="1" spans="1:47" ht="20.25" thickBot="1" x14ac:dyDescent="0.35">
      <c r="A1" s="6" t="s">
        <v>16</v>
      </c>
      <c r="B1" s="11" t="s">
        <v>4</v>
      </c>
      <c r="C1" s="11" t="s">
        <v>38</v>
      </c>
      <c r="D1" s="11" t="s">
        <v>5</v>
      </c>
      <c r="E1" s="11" t="s">
        <v>6</v>
      </c>
      <c r="F1" s="11" t="s">
        <v>7</v>
      </c>
      <c r="G1" s="11" t="s">
        <v>8</v>
      </c>
      <c r="H1" s="11" t="s">
        <v>9</v>
      </c>
      <c r="I1" s="11" t="s">
        <v>22</v>
      </c>
      <c r="J1" s="11" t="s">
        <v>25</v>
      </c>
      <c r="K1" s="11" t="s">
        <v>21</v>
      </c>
      <c r="L1" s="11" t="s">
        <v>18</v>
      </c>
      <c r="M1" s="11" t="s">
        <v>10</v>
      </c>
      <c r="N1" s="11" t="s">
        <v>11</v>
      </c>
      <c r="O1" s="11" t="s">
        <v>12</v>
      </c>
      <c r="P1" s="11" t="s">
        <v>13</v>
      </c>
      <c r="Q1" s="11" t="s">
        <v>14</v>
      </c>
      <c r="R1" s="11" t="s">
        <v>15</v>
      </c>
      <c r="S1" s="11" t="s">
        <v>23</v>
      </c>
      <c r="T1" s="11" t="s">
        <v>24</v>
      </c>
      <c r="U1" s="11" t="s">
        <v>39</v>
      </c>
      <c r="V1" s="11" t="s">
        <v>36</v>
      </c>
      <c r="X1" s="9" t="s">
        <v>17</v>
      </c>
      <c r="Y1" s="7" t="s">
        <v>4</v>
      </c>
      <c r="Z1" s="7" t="s">
        <v>38</v>
      </c>
      <c r="AA1" s="7" t="s">
        <v>5</v>
      </c>
      <c r="AB1" s="7" t="s">
        <v>6</v>
      </c>
      <c r="AC1" s="7" t="s">
        <v>7</v>
      </c>
      <c r="AD1" s="7" t="s">
        <v>8</v>
      </c>
      <c r="AE1" s="7" t="s">
        <v>9</v>
      </c>
      <c r="AF1" s="17" t="s">
        <v>22</v>
      </c>
      <c r="AG1" s="17" t="s">
        <v>25</v>
      </c>
      <c r="AH1" s="17" t="s">
        <v>21</v>
      </c>
      <c r="AI1" s="17" t="s">
        <v>18</v>
      </c>
      <c r="AJ1" s="7" t="s">
        <v>10</v>
      </c>
      <c r="AK1" s="7" t="s">
        <v>11</v>
      </c>
      <c r="AL1" s="7" t="s">
        <v>12</v>
      </c>
      <c r="AM1" s="7" t="s">
        <v>13</v>
      </c>
      <c r="AN1" s="7" t="s">
        <v>14</v>
      </c>
      <c r="AO1" s="7" t="s">
        <v>15</v>
      </c>
      <c r="AP1" s="17" t="s">
        <v>23</v>
      </c>
      <c r="AQ1" s="17" t="s">
        <v>24</v>
      </c>
      <c r="AR1" s="17" t="s">
        <v>39</v>
      </c>
      <c r="AS1" s="7" t="s">
        <v>36</v>
      </c>
    </row>
    <row r="2" spans="1:47" ht="16.5" thickTop="1" thickBot="1" x14ac:dyDescent="0.3">
      <c r="A2" s="4">
        <v>44562</v>
      </c>
      <c r="B2" s="30">
        <v>1000</v>
      </c>
      <c r="C2" s="2">
        <v>0</v>
      </c>
      <c r="D2" s="2">
        <v>0</v>
      </c>
      <c r="E2" s="2">
        <v>0</v>
      </c>
      <c r="F2" s="2">
        <v>0</v>
      </c>
      <c r="G2" s="2">
        <v>0</v>
      </c>
      <c r="H2" s="2">
        <v>0</v>
      </c>
      <c r="I2" s="2">
        <v>0</v>
      </c>
      <c r="J2" s="2">
        <v>0</v>
      </c>
      <c r="K2" s="2">
        <v>0</v>
      </c>
      <c r="L2" s="2">
        <v>0</v>
      </c>
      <c r="M2" s="2">
        <v>0</v>
      </c>
      <c r="N2" s="2">
        <v>0</v>
      </c>
      <c r="O2" s="2">
        <v>0</v>
      </c>
      <c r="P2" s="2">
        <v>0</v>
      </c>
      <c r="Q2" s="2">
        <v>0</v>
      </c>
      <c r="R2" s="2">
        <v>0</v>
      </c>
      <c r="S2" s="2">
        <v>0</v>
      </c>
      <c r="T2" s="2">
        <v>0</v>
      </c>
      <c r="U2" s="2">
        <v>0</v>
      </c>
      <c r="V2" s="2">
        <v>0</v>
      </c>
      <c r="W2" s="5">
        <f t="shared" ref="W2:W13" si="0">SUM(B2:V2)</f>
        <v>1000</v>
      </c>
      <c r="X2" s="8">
        <v>44562</v>
      </c>
      <c r="Y2" s="2">
        <v>0</v>
      </c>
      <c r="Z2" s="2">
        <v>0</v>
      </c>
      <c r="AA2" s="2">
        <v>0</v>
      </c>
      <c r="AB2" s="2">
        <v>0</v>
      </c>
      <c r="AC2" s="2">
        <v>0</v>
      </c>
      <c r="AD2" s="2">
        <v>0</v>
      </c>
      <c r="AE2" s="2">
        <v>0</v>
      </c>
      <c r="AF2" s="2">
        <v>0</v>
      </c>
      <c r="AG2" s="2">
        <v>0</v>
      </c>
      <c r="AH2" s="2">
        <v>0</v>
      </c>
      <c r="AI2" s="2">
        <v>0</v>
      </c>
      <c r="AJ2" s="2">
        <v>0</v>
      </c>
      <c r="AK2" s="2">
        <v>0</v>
      </c>
      <c r="AL2" s="2">
        <v>0</v>
      </c>
      <c r="AM2" s="2">
        <v>0</v>
      </c>
      <c r="AN2" s="2">
        <v>0</v>
      </c>
      <c r="AO2" s="2">
        <v>0</v>
      </c>
      <c r="AP2" s="2">
        <v>0</v>
      </c>
      <c r="AQ2" s="2">
        <v>0</v>
      </c>
      <c r="AR2" s="2">
        <v>0</v>
      </c>
      <c r="AS2" s="2">
        <v>0</v>
      </c>
      <c r="AT2" s="10">
        <f t="shared" ref="AT2:AT7" si="1">SUM(Y2:AS2)</f>
        <v>0</v>
      </c>
    </row>
    <row r="3" spans="1:47" ht="16.5" thickTop="1" thickBot="1" x14ac:dyDescent="0.3">
      <c r="A3" s="4">
        <v>44593</v>
      </c>
      <c r="B3" s="2">
        <v>0</v>
      </c>
      <c r="C3" s="2">
        <v>0</v>
      </c>
      <c r="D3" s="2">
        <v>0</v>
      </c>
      <c r="E3" s="2">
        <v>0</v>
      </c>
      <c r="F3" s="2">
        <v>0</v>
      </c>
      <c r="G3" s="2">
        <v>0</v>
      </c>
      <c r="H3" s="2">
        <v>0</v>
      </c>
      <c r="I3" s="2">
        <v>0</v>
      </c>
      <c r="J3" s="2">
        <v>0</v>
      </c>
      <c r="K3" s="2">
        <v>0</v>
      </c>
      <c r="L3" s="2">
        <v>0</v>
      </c>
      <c r="M3" s="2">
        <v>0</v>
      </c>
      <c r="N3" s="2">
        <v>0</v>
      </c>
      <c r="O3" s="2">
        <v>0</v>
      </c>
      <c r="P3" s="2">
        <v>0</v>
      </c>
      <c r="Q3" s="2">
        <v>0</v>
      </c>
      <c r="R3" s="2">
        <v>0</v>
      </c>
      <c r="S3" s="2">
        <v>0</v>
      </c>
      <c r="T3" s="2">
        <v>0</v>
      </c>
      <c r="U3" s="2">
        <v>0</v>
      </c>
      <c r="V3" s="2">
        <v>0</v>
      </c>
      <c r="W3" s="5">
        <f t="shared" si="0"/>
        <v>0</v>
      </c>
      <c r="X3" s="8">
        <v>44593</v>
      </c>
      <c r="Y3" s="2">
        <v>0</v>
      </c>
      <c r="Z3" s="2">
        <v>0</v>
      </c>
      <c r="AA3" s="2">
        <v>0</v>
      </c>
      <c r="AB3" s="2">
        <v>0</v>
      </c>
      <c r="AC3" s="2">
        <v>0</v>
      </c>
      <c r="AD3" s="2">
        <v>0</v>
      </c>
      <c r="AE3" s="2">
        <v>0</v>
      </c>
      <c r="AF3" s="2">
        <v>0</v>
      </c>
      <c r="AG3" s="2">
        <v>0</v>
      </c>
      <c r="AH3" s="2">
        <v>0</v>
      </c>
      <c r="AI3" s="2">
        <v>0</v>
      </c>
      <c r="AJ3" s="2">
        <v>0</v>
      </c>
      <c r="AK3" s="2">
        <v>0</v>
      </c>
      <c r="AL3" s="2">
        <v>0</v>
      </c>
      <c r="AM3" s="2">
        <v>0</v>
      </c>
      <c r="AN3" s="2">
        <v>0</v>
      </c>
      <c r="AO3" s="2">
        <v>0</v>
      </c>
      <c r="AP3" s="2">
        <v>0</v>
      </c>
      <c r="AQ3" s="2">
        <v>0</v>
      </c>
      <c r="AR3" s="2">
        <v>0</v>
      </c>
      <c r="AS3" s="2">
        <v>0</v>
      </c>
      <c r="AT3" s="10">
        <f t="shared" si="1"/>
        <v>0</v>
      </c>
    </row>
    <row r="4" spans="1:47" ht="16.5" thickTop="1" thickBot="1" x14ac:dyDescent="0.3">
      <c r="A4" s="4">
        <v>44621</v>
      </c>
      <c r="B4" s="2">
        <v>0</v>
      </c>
      <c r="C4" s="2">
        <v>0</v>
      </c>
      <c r="D4" s="30">
        <v>-250</v>
      </c>
      <c r="E4" s="2">
        <v>0</v>
      </c>
      <c r="F4" s="2">
        <v>0</v>
      </c>
      <c r="G4" s="2">
        <v>0</v>
      </c>
      <c r="H4" s="2">
        <v>0</v>
      </c>
      <c r="I4" s="2">
        <v>0</v>
      </c>
      <c r="J4" s="2">
        <v>0</v>
      </c>
      <c r="K4" s="2">
        <v>0</v>
      </c>
      <c r="L4" s="2">
        <v>0</v>
      </c>
      <c r="M4" s="2">
        <v>0</v>
      </c>
      <c r="N4" s="2">
        <v>0</v>
      </c>
      <c r="O4" s="2">
        <v>0</v>
      </c>
      <c r="P4" s="2">
        <v>0</v>
      </c>
      <c r="Q4" s="2">
        <v>0</v>
      </c>
      <c r="R4" s="2">
        <v>0</v>
      </c>
      <c r="S4" s="2">
        <v>0</v>
      </c>
      <c r="T4" s="2">
        <v>0</v>
      </c>
      <c r="U4" s="2">
        <v>0</v>
      </c>
      <c r="V4" s="2">
        <v>0</v>
      </c>
      <c r="W4" s="5">
        <f t="shared" si="0"/>
        <v>-250</v>
      </c>
      <c r="X4" s="8">
        <v>44621</v>
      </c>
      <c r="Y4" s="2">
        <v>0</v>
      </c>
      <c r="Z4" s="2">
        <v>0</v>
      </c>
      <c r="AA4" s="30">
        <v>-250</v>
      </c>
      <c r="AB4" s="2">
        <v>0</v>
      </c>
      <c r="AC4" s="2">
        <v>0</v>
      </c>
      <c r="AD4" s="2">
        <v>0</v>
      </c>
      <c r="AE4" s="2">
        <v>0</v>
      </c>
      <c r="AF4" s="2">
        <v>0</v>
      </c>
      <c r="AG4" s="2">
        <v>0</v>
      </c>
      <c r="AH4" s="2">
        <v>0</v>
      </c>
      <c r="AI4" s="2">
        <v>0</v>
      </c>
      <c r="AJ4" s="2">
        <v>0</v>
      </c>
      <c r="AK4" s="2">
        <v>0</v>
      </c>
      <c r="AL4" s="2">
        <v>0</v>
      </c>
      <c r="AM4" s="2">
        <v>0</v>
      </c>
      <c r="AN4" s="2">
        <v>0</v>
      </c>
      <c r="AO4" s="2">
        <v>0</v>
      </c>
      <c r="AP4" s="2">
        <v>0</v>
      </c>
      <c r="AQ4" s="2">
        <v>0</v>
      </c>
      <c r="AR4" s="2">
        <v>0</v>
      </c>
      <c r="AS4" s="2">
        <v>0</v>
      </c>
      <c r="AT4" s="10">
        <f t="shared" si="1"/>
        <v>-250</v>
      </c>
    </row>
    <row r="5" spans="1:47" ht="16.5" thickTop="1" thickBot="1" x14ac:dyDescent="0.3">
      <c r="A5" s="4">
        <v>44652</v>
      </c>
      <c r="B5" s="2">
        <v>0</v>
      </c>
      <c r="C5" s="2">
        <v>0</v>
      </c>
      <c r="D5" s="2">
        <v>0</v>
      </c>
      <c r="E5" s="2">
        <v>0</v>
      </c>
      <c r="F5" s="2">
        <v>0</v>
      </c>
      <c r="G5" s="2">
        <v>0</v>
      </c>
      <c r="H5" s="2">
        <v>0</v>
      </c>
      <c r="I5" s="2">
        <v>0</v>
      </c>
      <c r="J5" s="2">
        <v>0</v>
      </c>
      <c r="K5" s="2">
        <v>0</v>
      </c>
      <c r="L5" s="2">
        <v>0</v>
      </c>
      <c r="M5" s="2">
        <v>0</v>
      </c>
      <c r="N5" s="2">
        <v>0</v>
      </c>
      <c r="O5" s="2">
        <v>0</v>
      </c>
      <c r="P5" s="2">
        <v>0</v>
      </c>
      <c r="Q5" s="2">
        <v>0</v>
      </c>
      <c r="R5" s="2">
        <v>0</v>
      </c>
      <c r="S5" s="2">
        <v>0</v>
      </c>
      <c r="T5" s="2">
        <v>0</v>
      </c>
      <c r="U5" s="2">
        <v>0</v>
      </c>
      <c r="V5" s="2">
        <v>0</v>
      </c>
      <c r="W5" s="5">
        <f t="shared" si="0"/>
        <v>0</v>
      </c>
      <c r="X5" s="8">
        <v>44652</v>
      </c>
      <c r="Y5" s="2">
        <v>0</v>
      </c>
      <c r="Z5" s="2">
        <v>0</v>
      </c>
      <c r="AA5" s="2">
        <v>0</v>
      </c>
      <c r="AB5" s="2">
        <v>0</v>
      </c>
      <c r="AC5" s="2">
        <v>0</v>
      </c>
      <c r="AD5" s="2">
        <v>0</v>
      </c>
      <c r="AE5" s="2">
        <v>0</v>
      </c>
      <c r="AF5" s="2">
        <v>0</v>
      </c>
      <c r="AG5" s="2">
        <v>0</v>
      </c>
      <c r="AH5" s="2">
        <v>0</v>
      </c>
      <c r="AI5" s="2">
        <v>0</v>
      </c>
      <c r="AJ5" s="2">
        <v>0</v>
      </c>
      <c r="AK5" s="2">
        <v>0</v>
      </c>
      <c r="AL5" s="2">
        <v>0</v>
      </c>
      <c r="AM5" s="2">
        <v>0</v>
      </c>
      <c r="AN5" s="2">
        <v>0</v>
      </c>
      <c r="AO5" s="2">
        <v>0</v>
      </c>
      <c r="AP5" s="2">
        <v>0</v>
      </c>
      <c r="AQ5" s="2">
        <v>0</v>
      </c>
      <c r="AR5" s="2">
        <v>0</v>
      </c>
      <c r="AS5" s="2">
        <v>0</v>
      </c>
      <c r="AT5" s="10">
        <f t="shared" si="1"/>
        <v>0</v>
      </c>
    </row>
    <row r="6" spans="1:47" ht="16.5" thickTop="1" thickBot="1" x14ac:dyDescent="0.3">
      <c r="A6" s="4">
        <v>44682</v>
      </c>
      <c r="B6" s="2">
        <v>0</v>
      </c>
      <c r="C6" s="30">
        <v>200</v>
      </c>
      <c r="D6" s="2">
        <v>0</v>
      </c>
      <c r="E6" s="2">
        <v>0</v>
      </c>
      <c r="F6" s="2">
        <v>0</v>
      </c>
      <c r="G6" s="2">
        <v>0</v>
      </c>
      <c r="H6" s="2">
        <v>0</v>
      </c>
      <c r="I6" s="2">
        <v>0</v>
      </c>
      <c r="J6" s="2">
        <v>0</v>
      </c>
      <c r="K6" s="2">
        <v>0</v>
      </c>
      <c r="L6" s="2">
        <v>0</v>
      </c>
      <c r="M6" s="2">
        <v>0</v>
      </c>
      <c r="N6" s="2">
        <v>0</v>
      </c>
      <c r="O6" s="2">
        <v>0</v>
      </c>
      <c r="P6" s="2">
        <v>0</v>
      </c>
      <c r="Q6" s="2">
        <v>0</v>
      </c>
      <c r="R6" s="2">
        <v>0</v>
      </c>
      <c r="S6" s="2">
        <v>0</v>
      </c>
      <c r="T6" s="2">
        <v>0</v>
      </c>
      <c r="U6" s="2">
        <v>0</v>
      </c>
      <c r="V6" s="2">
        <v>0</v>
      </c>
      <c r="W6" s="5">
        <f t="shared" si="0"/>
        <v>200</v>
      </c>
      <c r="X6" s="8">
        <v>44682</v>
      </c>
      <c r="Y6" s="2">
        <v>0</v>
      </c>
      <c r="Z6" s="2">
        <v>0</v>
      </c>
      <c r="AA6" s="2">
        <v>0</v>
      </c>
      <c r="AB6" s="2">
        <v>0</v>
      </c>
      <c r="AC6" s="2">
        <v>0</v>
      </c>
      <c r="AD6" s="2">
        <v>0</v>
      </c>
      <c r="AE6" s="2">
        <v>0</v>
      </c>
      <c r="AF6" s="2">
        <v>0</v>
      </c>
      <c r="AG6" s="2">
        <v>0</v>
      </c>
      <c r="AH6" s="2">
        <v>0</v>
      </c>
      <c r="AI6" s="2">
        <v>0</v>
      </c>
      <c r="AJ6" s="2">
        <v>0</v>
      </c>
      <c r="AK6" s="2">
        <v>0</v>
      </c>
      <c r="AL6" s="2">
        <v>0</v>
      </c>
      <c r="AM6" s="2">
        <v>0</v>
      </c>
      <c r="AN6" s="2">
        <v>0</v>
      </c>
      <c r="AO6" s="2">
        <v>0</v>
      </c>
      <c r="AP6" s="2">
        <v>0</v>
      </c>
      <c r="AQ6" s="2">
        <v>0</v>
      </c>
      <c r="AR6" s="2">
        <v>0</v>
      </c>
      <c r="AS6" s="2">
        <v>0</v>
      </c>
      <c r="AT6" s="10">
        <f t="shared" si="1"/>
        <v>0</v>
      </c>
    </row>
    <row r="7" spans="1:47" ht="16.5" thickTop="1" thickBot="1" x14ac:dyDescent="0.3">
      <c r="A7" s="4">
        <v>44713</v>
      </c>
      <c r="B7" s="2">
        <v>0</v>
      </c>
      <c r="C7" s="30">
        <v>200</v>
      </c>
      <c r="D7" s="2">
        <v>0</v>
      </c>
      <c r="E7" s="2">
        <v>0</v>
      </c>
      <c r="F7" s="2">
        <v>0</v>
      </c>
      <c r="G7" s="2">
        <v>0</v>
      </c>
      <c r="H7" s="2">
        <v>0</v>
      </c>
      <c r="I7" s="2">
        <v>0</v>
      </c>
      <c r="J7" s="2">
        <v>0</v>
      </c>
      <c r="K7" s="2">
        <v>0</v>
      </c>
      <c r="L7" s="2">
        <v>0</v>
      </c>
      <c r="M7" s="2">
        <v>0</v>
      </c>
      <c r="N7" s="2">
        <v>0</v>
      </c>
      <c r="O7" s="2">
        <v>0</v>
      </c>
      <c r="P7" s="2">
        <v>0</v>
      </c>
      <c r="Q7" s="2">
        <v>0</v>
      </c>
      <c r="R7" s="2">
        <v>0</v>
      </c>
      <c r="S7" s="2">
        <v>0</v>
      </c>
      <c r="T7" s="2">
        <v>0</v>
      </c>
      <c r="U7" s="2">
        <v>0</v>
      </c>
      <c r="V7" s="2">
        <v>0</v>
      </c>
      <c r="W7" s="5">
        <f t="shared" si="0"/>
        <v>200</v>
      </c>
      <c r="X7" s="8">
        <v>44713</v>
      </c>
      <c r="Y7" s="2">
        <v>0</v>
      </c>
      <c r="Z7" s="2">
        <v>0</v>
      </c>
      <c r="AA7" s="2">
        <v>0</v>
      </c>
      <c r="AB7" s="2">
        <v>0</v>
      </c>
      <c r="AC7" s="2">
        <v>0</v>
      </c>
      <c r="AD7" s="2">
        <v>0</v>
      </c>
      <c r="AE7" s="2">
        <v>0</v>
      </c>
      <c r="AF7" s="2">
        <v>0</v>
      </c>
      <c r="AG7" s="2">
        <v>0</v>
      </c>
      <c r="AH7" s="2">
        <v>0</v>
      </c>
      <c r="AI7" s="2">
        <v>0</v>
      </c>
      <c r="AJ7" s="2">
        <v>0</v>
      </c>
      <c r="AK7" s="2">
        <v>0</v>
      </c>
      <c r="AL7" s="2">
        <v>0</v>
      </c>
      <c r="AM7" s="2">
        <v>0</v>
      </c>
      <c r="AN7" s="2">
        <v>0</v>
      </c>
      <c r="AO7" s="2">
        <v>0</v>
      </c>
      <c r="AP7" s="2">
        <v>0</v>
      </c>
      <c r="AQ7" s="2">
        <v>0</v>
      </c>
      <c r="AR7" s="2">
        <v>0</v>
      </c>
      <c r="AS7" s="2">
        <v>0</v>
      </c>
      <c r="AT7" s="10">
        <f t="shared" si="1"/>
        <v>0</v>
      </c>
    </row>
    <row r="8" spans="1:47" ht="16.5" thickTop="1" thickBot="1" x14ac:dyDescent="0.3">
      <c r="A8" s="4">
        <v>44743</v>
      </c>
      <c r="B8" s="2">
        <v>0</v>
      </c>
      <c r="C8" s="2">
        <v>0</v>
      </c>
      <c r="D8" s="2">
        <v>0</v>
      </c>
      <c r="E8" s="30">
        <v>-50</v>
      </c>
      <c r="F8" s="2">
        <v>0</v>
      </c>
      <c r="G8" s="2">
        <v>0</v>
      </c>
      <c r="H8" s="2">
        <v>0</v>
      </c>
      <c r="I8" s="2">
        <v>0</v>
      </c>
      <c r="J8" s="2">
        <v>0</v>
      </c>
      <c r="K8" s="2">
        <v>0</v>
      </c>
      <c r="L8" s="2">
        <v>0</v>
      </c>
      <c r="M8" s="2">
        <v>0</v>
      </c>
      <c r="N8" s="2">
        <v>0</v>
      </c>
      <c r="O8" s="2">
        <v>0</v>
      </c>
      <c r="P8" s="2">
        <v>0</v>
      </c>
      <c r="Q8" s="2">
        <v>0</v>
      </c>
      <c r="R8" s="2">
        <v>0</v>
      </c>
      <c r="S8" s="2">
        <v>0</v>
      </c>
      <c r="T8" s="2">
        <v>0</v>
      </c>
      <c r="U8" s="2">
        <v>0</v>
      </c>
      <c r="V8" s="2">
        <v>0</v>
      </c>
      <c r="W8" s="5">
        <f t="shared" si="0"/>
        <v>-50</v>
      </c>
      <c r="X8" s="8">
        <v>44743</v>
      </c>
      <c r="Y8" s="2">
        <v>0</v>
      </c>
      <c r="Z8" s="2">
        <v>0</v>
      </c>
      <c r="AA8" s="2">
        <v>0</v>
      </c>
      <c r="AB8" s="30">
        <v>-50</v>
      </c>
      <c r="AC8" s="2">
        <v>0</v>
      </c>
      <c r="AD8" s="2">
        <v>0</v>
      </c>
      <c r="AE8" s="2">
        <v>0</v>
      </c>
      <c r="AF8" s="2">
        <v>0</v>
      </c>
      <c r="AG8" s="2">
        <v>0</v>
      </c>
      <c r="AH8" s="2">
        <v>0</v>
      </c>
      <c r="AI8" s="2">
        <v>0</v>
      </c>
      <c r="AJ8" s="2">
        <v>0</v>
      </c>
      <c r="AK8" s="2">
        <v>0</v>
      </c>
      <c r="AL8" s="2">
        <v>0</v>
      </c>
      <c r="AM8" s="2">
        <v>0</v>
      </c>
      <c r="AN8" s="2">
        <v>0</v>
      </c>
      <c r="AO8" s="2">
        <v>0</v>
      </c>
      <c r="AP8" s="2">
        <v>0</v>
      </c>
      <c r="AQ8" s="2">
        <v>0</v>
      </c>
      <c r="AR8" s="2">
        <v>0</v>
      </c>
      <c r="AS8" s="2">
        <v>0</v>
      </c>
      <c r="AT8" s="10">
        <f>SUM(Y8:AQ8)</f>
        <v>-50</v>
      </c>
    </row>
    <row r="9" spans="1:47" ht="16.5" thickTop="1" thickBot="1" x14ac:dyDescent="0.3">
      <c r="A9" s="4">
        <v>44774</v>
      </c>
      <c r="B9" s="2">
        <v>0</v>
      </c>
      <c r="C9" s="2">
        <v>0</v>
      </c>
      <c r="D9" s="2">
        <v>0</v>
      </c>
      <c r="E9" s="2">
        <v>0</v>
      </c>
      <c r="F9" s="2">
        <v>0</v>
      </c>
      <c r="G9" s="2">
        <v>0</v>
      </c>
      <c r="H9" s="2">
        <v>0</v>
      </c>
      <c r="I9" s="2">
        <v>0</v>
      </c>
      <c r="J9" s="2">
        <v>0</v>
      </c>
      <c r="K9" s="2">
        <v>0</v>
      </c>
      <c r="L9" s="2">
        <v>0</v>
      </c>
      <c r="M9" s="2">
        <v>0</v>
      </c>
      <c r="N9" s="2">
        <v>0</v>
      </c>
      <c r="O9" s="2">
        <v>0</v>
      </c>
      <c r="P9" s="2">
        <v>0</v>
      </c>
      <c r="Q9" s="2">
        <v>0</v>
      </c>
      <c r="R9" s="2">
        <v>0</v>
      </c>
      <c r="S9" s="2">
        <v>0</v>
      </c>
      <c r="T9" s="2">
        <v>0</v>
      </c>
      <c r="U9" s="2">
        <v>0</v>
      </c>
      <c r="V9" s="2">
        <v>0</v>
      </c>
      <c r="W9" s="5">
        <f t="shared" si="0"/>
        <v>0</v>
      </c>
      <c r="X9" s="8">
        <v>44774</v>
      </c>
      <c r="Y9" s="2">
        <v>0</v>
      </c>
      <c r="Z9" s="2">
        <v>0</v>
      </c>
      <c r="AA9" s="2">
        <v>0</v>
      </c>
      <c r="AB9" s="2">
        <v>0</v>
      </c>
      <c r="AC9" s="2">
        <v>0</v>
      </c>
      <c r="AD9" s="2">
        <v>0</v>
      </c>
      <c r="AE9" s="2">
        <v>0</v>
      </c>
      <c r="AF9" s="2">
        <v>0</v>
      </c>
      <c r="AG9" s="2">
        <v>0</v>
      </c>
      <c r="AH9" s="2">
        <v>0</v>
      </c>
      <c r="AI9" s="2">
        <v>0</v>
      </c>
      <c r="AJ9" s="2">
        <v>0</v>
      </c>
      <c r="AK9" s="2">
        <v>0</v>
      </c>
      <c r="AL9" s="2">
        <v>0</v>
      </c>
      <c r="AM9" s="2">
        <v>0</v>
      </c>
      <c r="AN9" s="2">
        <v>0</v>
      </c>
      <c r="AO9" s="2">
        <v>0</v>
      </c>
      <c r="AP9" s="2">
        <v>0</v>
      </c>
      <c r="AQ9" s="2">
        <v>0</v>
      </c>
      <c r="AR9" s="2">
        <v>0</v>
      </c>
      <c r="AS9" s="2">
        <v>0</v>
      </c>
      <c r="AT9" s="10">
        <f>SUM(Y9:AS9)</f>
        <v>0</v>
      </c>
    </row>
    <row r="10" spans="1:47" ht="16.5" thickTop="1" thickBot="1" x14ac:dyDescent="0.3">
      <c r="A10" s="4">
        <v>44805</v>
      </c>
      <c r="B10" s="2">
        <v>0</v>
      </c>
      <c r="C10" s="2">
        <v>0</v>
      </c>
      <c r="D10" s="2">
        <v>0</v>
      </c>
      <c r="E10" s="2">
        <v>0</v>
      </c>
      <c r="F10" s="2">
        <v>0</v>
      </c>
      <c r="G10" s="2">
        <v>0</v>
      </c>
      <c r="H10" s="2">
        <v>0</v>
      </c>
      <c r="I10" s="2">
        <v>0</v>
      </c>
      <c r="J10" s="2">
        <v>0</v>
      </c>
      <c r="K10" s="2">
        <v>0</v>
      </c>
      <c r="L10" s="2">
        <v>0</v>
      </c>
      <c r="M10" s="30">
        <v>-10</v>
      </c>
      <c r="N10" s="2">
        <v>0</v>
      </c>
      <c r="O10" s="2">
        <v>0</v>
      </c>
      <c r="P10" s="2">
        <v>0</v>
      </c>
      <c r="Q10" s="2">
        <v>0</v>
      </c>
      <c r="R10" s="2">
        <v>0</v>
      </c>
      <c r="S10" s="2">
        <v>0</v>
      </c>
      <c r="T10" s="2">
        <v>0</v>
      </c>
      <c r="U10" s="2">
        <v>0</v>
      </c>
      <c r="V10" s="2">
        <v>0</v>
      </c>
      <c r="W10" s="5">
        <f t="shared" si="0"/>
        <v>-10</v>
      </c>
      <c r="X10" s="8">
        <v>44805</v>
      </c>
      <c r="Y10" s="2">
        <v>0</v>
      </c>
      <c r="Z10" s="2">
        <v>0</v>
      </c>
      <c r="AA10" s="2">
        <v>0</v>
      </c>
      <c r="AB10" s="2">
        <v>0</v>
      </c>
      <c r="AC10" s="2">
        <v>0</v>
      </c>
      <c r="AD10" s="2">
        <v>0</v>
      </c>
      <c r="AE10" s="2">
        <v>0</v>
      </c>
      <c r="AF10" s="2">
        <v>0</v>
      </c>
      <c r="AG10" s="2">
        <v>0</v>
      </c>
      <c r="AH10" s="2">
        <v>0</v>
      </c>
      <c r="AI10" s="2">
        <v>0</v>
      </c>
      <c r="AJ10" s="30">
        <v>-10</v>
      </c>
      <c r="AK10" s="2">
        <v>0</v>
      </c>
      <c r="AL10" s="2">
        <v>0</v>
      </c>
      <c r="AM10" s="2">
        <v>0</v>
      </c>
      <c r="AN10" s="2">
        <v>0</v>
      </c>
      <c r="AO10" s="2">
        <v>0</v>
      </c>
      <c r="AP10" s="2">
        <v>0</v>
      </c>
      <c r="AQ10" s="2">
        <v>0</v>
      </c>
      <c r="AR10" s="2">
        <v>0</v>
      </c>
      <c r="AS10" s="2">
        <v>0</v>
      </c>
      <c r="AT10" s="10">
        <f>SUM(Y10:AS10)</f>
        <v>-10</v>
      </c>
    </row>
    <row r="11" spans="1:47" ht="16.5" thickTop="1" thickBot="1" x14ac:dyDescent="0.3">
      <c r="A11" s="4">
        <v>44835</v>
      </c>
      <c r="B11" s="2">
        <v>0</v>
      </c>
      <c r="C11" s="2">
        <v>0</v>
      </c>
      <c r="D11" s="2">
        <v>0</v>
      </c>
      <c r="E11" s="2">
        <v>0</v>
      </c>
      <c r="F11" s="2">
        <v>0</v>
      </c>
      <c r="G11" s="2">
        <v>0</v>
      </c>
      <c r="H11" s="2">
        <v>0</v>
      </c>
      <c r="I11" s="2">
        <v>0</v>
      </c>
      <c r="J11" s="2">
        <v>0</v>
      </c>
      <c r="K11" s="2">
        <v>0</v>
      </c>
      <c r="L11" s="2">
        <v>0</v>
      </c>
      <c r="M11" s="2">
        <v>0</v>
      </c>
      <c r="N11" s="2">
        <v>0</v>
      </c>
      <c r="O11" s="2">
        <v>0</v>
      </c>
      <c r="P11" s="2">
        <v>0</v>
      </c>
      <c r="Q11" s="2">
        <v>0</v>
      </c>
      <c r="R11" s="2">
        <v>0</v>
      </c>
      <c r="S11" s="2">
        <v>0</v>
      </c>
      <c r="T11" s="2">
        <v>0</v>
      </c>
      <c r="U11" s="2">
        <v>0</v>
      </c>
      <c r="V11" s="2">
        <v>0</v>
      </c>
      <c r="W11" s="5">
        <f t="shared" si="0"/>
        <v>0</v>
      </c>
      <c r="X11" s="8">
        <v>44835</v>
      </c>
      <c r="Y11" s="2">
        <v>0</v>
      </c>
      <c r="Z11" s="2">
        <v>0</v>
      </c>
      <c r="AA11" s="2">
        <v>0</v>
      </c>
      <c r="AB11" s="2">
        <v>0</v>
      </c>
      <c r="AC11" s="2">
        <v>0</v>
      </c>
      <c r="AD11" s="2">
        <v>0</v>
      </c>
      <c r="AE11" s="2">
        <v>0</v>
      </c>
      <c r="AF11" s="2">
        <v>0</v>
      </c>
      <c r="AG11" s="2">
        <v>0</v>
      </c>
      <c r="AH11" s="2">
        <v>0</v>
      </c>
      <c r="AI11" s="2">
        <v>0</v>
      </c>
      <c r="AJ11" s="2">
        <v>0</v>
      </c>
      <c r="AK11" s="2">
        <v>0</v>
      </c>
      <c r="AL11" s="2">
        <v>0</v>
      </c>
      <c r="AM11" s="2">
        <v>0</v>
      </c>
      <c r="AN11" s="2">
        <v>0</v>
      </c>
      <c r="AO11" s="2">
        <v>0</v>
      </c>
      <c r="AP11" s="2">
        <v>0</v>
      </c>
      <c r="AQ11" s="2">
        <v>0</v>
      </c>
      <c r="AR11" s="2">
        <v>0</v>
      </c>
      <c r="AS11" s="2">
        <v>0</v>
      </c>
      <c r="AT11" s="10">
        <f>SUM(Y11:AS11)</f>
        <v>0</v>
      </c>
    </row>
    <row r="12" spans="1:47" ht="16.5" thickTop="1" thickBot="1" x14ac:dyDescent="0.3">
      <c r="A12" s="4">
        <v>44866</v>
      </c>
      <c r="B12" s="2">
        <v>0</v>
      </c>
      <c r="C12" s="2">
        <v>0</v>
      </c>
      <c r="D12" s="2">
        <v>0</v>
      </c>
      <c r="E12" s="2">
        <v>0</v>
      </c>
      <c r="F12" s="2">
        <v>0</v>
      </c>
      <c r="G12" s="2">
        <v>0</v>
      </c>
      <c r="H12" s="2">
        <v>0</v>
      </c>
      <c r="I12" s="2">
        <v>0</v>
      </c>
      <c r="J12" s="2">
        <v>0</v>
      </c>
      <c r="K12" s="2">
        <v>0</v>
      </c>
      <c r="L12" s="2">
        <v>0</v>
      </c>
      <c r="M12" s="2">
        <v>0</v>
      </c>
      <c r="N12" s="2">
        <v>0</v>
      </c>
      <c r="O12" s="2">
        <v>0</v>
      </c>
      <c r="P12" s="2">
        <v>0</v>
      </c>
      <c r="Q12" s="2">
        <v>0</v>
      </c>
      <c r="R12" s="2">
        <v>0</v>
      </c>
      <c r="S12" s="2">
        <v>0</v>
      </c>
      <c r="T12" s="2">
        <v>0</v>
      </c>
      <c r="U12" s="2">
        <v>0</v>
      </c>
      <c r="V12" s="2">
        <v>0</v>
      </c>
      <c r="W12" s="5">
        <f t="shared" si="0"/>
        <v>0</v>
      </c>
      <c r="X12" s="8">
        <v>44866</v>
      </c>
      <c r="Y12" s="2">
        <v>0</v>
      </c>
      <c r="Z12" s="2">
        <v>0</v>
      </c>
      <c r="AA12" s="2">
        <v>0</v>
      </c>
      <c r="AB12" s="2">
        <v>0</v>
      </c>
      <c r="AC12" s="2">
        <v>0</v>
      </c>
      <c r="AD12" s="2">
        <v>0</v>
      </c>
      <c r="AE12" s="2">
        <v>0</v>
      </c>
      <c r="AF12" s="2">
        <v>0</v>
      </c>
      <c r="AG12" s="2">
        <v>0</v>
      </c>
      <c r="AH12" s="2">
        <v>0</v>
      </c>
      <c r="AI12" s="2">
        <v>0</v>
      </c>
      <c r="AJ12" s="2">
        <v>0</v>
      </c>
      <c r="AK12" s="2">
        <v>0</v>
      </c>
      <c r="AL12" s="2">
        <v>0</v>
      </c>
      <c r="AM12" s="2">
        <v>0</v>
      </c>
      <c r="AN12" s="2">
        <v>0</v>
      </c>
      <c r="AO12" s="2">
        <v>0</v>
      </c>
      <c r="AP12" s="2">
        <v>0</v>
      </c>
      <c r="AQ12" s="2">
        <v>0</v>
      </c>
      <c r="AR12" s="2">
        <v>0</v>
      </c>
      <c r="AS12" s="30">
        <v>-10</v>
      </c>
      <c r="AT12" s="10">
        <f>SUM(Y12:AS12)</f>
        <v>-10</v>
      </c>
    </row>
    <row r="13" spans="1:47" ht="16.5" thickTop="1" thickBot="1" x14ac:dyDescent="0.3">
      <c r="A13" s="4">
        <v>44896</v>
      </c>
      <c r="B13" s="2">
        <v>0</v>
      </c>
      <c r="C13" s="2">
        <v>0</v>
      </c>
      <c r="D13" s="2">
        <v>0</v>
      </c>
      <c r="E13" s="2">
        <v>0</v>
      </c>
      <c r="F13" s="2">
        <v>0</v>
      </c>
      <c r="G13" s="2">
        <v>0</v>
      </c>
      <c r="H13" s="2">
        <v>0</v>
      </c>
      <c r="I13" s="2">
        <v>0</v>
      </c>
      <c r="J13" s="2">
        <v>0</v>
      </c>
      <c r="K13" s="2">
        <v>0</v>
      </c>
      <c r="L13" s="2">
        <v>0</v>
      </c>
      <c r="M13" s="2">
        <v>0</v>
      </c>
      <c r="N13" s="2">
        <v>0</v>
      </c>
      <c r="O13" s="2">
        <v>0</v>
      </c>
      <c r="P13" s="2">
        <v>0</v>
      </c>
      <c r="Q13" s="2">
        <v>0</v>
      </c>
      <c r="R13" s="2">
        <v>0</v>
      </c>
      <c r="S13" s="2">
        <v>0</v>
      </c>
      <c r="T13" s="2">
        <v>0</v>
      </c>
      <c r="U13" s="2">
        <v>0</v>
      </c>
      <c r="V13" s="2">
        <v>0</v>
      </c>
      <c r="W13" s="5">
        <f t="shared" si="0"/>
        <v>0</v>
      </c>
      <c r="X13" s="8">
        <v>44896</v>
      </c>
      <c r="Y13" s="2">
        <v>0</v>
      </c>
      <c r="Z13" s="2">
        <v>0</v>
      </c>
      <c r="AA13" s="2">
        <v>0</v>
      </c>
      <c r="AB13" s="2">
        <v>0</v>
      </c>
      <c r="AC13" s="2">
        <v>0</v>
      </c>
      <c r="AD13" s="2">
        <v>0</v>
      </c>
      <c r="AE13" s="2">
        <v>0</v>
      </c>
      <c r="AF13" s="2">
        <v>0</v>
      </c>
      <c r="AG13" s="2">
        <v>0</v>
      </c>
      <c r="AH13" s="2">
        <v>0</v>
      </c>
      <c r="AI13" s="2">
        <v>0</v>
      </c>
      <c r="AJ13" s="2">
        <v>0</v>
      </c>
      <c r="AK13" s="2">
        <v>0</v>
      </c>
      <c r="AL13" s="2">
        <v>0</v>
      </c>
      <c r="AM13" s="2">
        <v>0</v>
      </c>
      <c r="AN13" s="2">
        <v>0</v>
      </c>
      <c r="AO13" s="2">
        <v>0</v>
      </c>
      <c r="AP13" s="2">
        <v>0</v>
      </c>
      <c r="AQ13" s="2">
        <v>0</v>
      </c>
      <c r="AR13" s="2">
        <v>0</v>
      </c>
      <c r="AS13" s="2">
        <v>0</v>
      </c>
      <c r="AT13" s="10">
        <f>SUM(Y13:AS13)</f>
        <v>0</v>
      </c>
    </row>
    <row r="14" spans="1:47" ht="17.25" thickTop="1" thickBot="1" x14ac:dyDescent="0.3">
      <c r="B14" s="5">
        <f>SUM(B2:B13)</f>
        <v>1000</v>
      </c>
      <c r="C14" s="5">
        <f>SUM(C2:C13)</f>
        <v>400</v>
      </c>
      <c r="D14" s="5">
        <f t="shared" ref="D14:V14" si="2">SUM(D2:D13)</f>
        <v>-250</v>
      </c>
      <c r="E14" s="5">
        <f t="shared" si="2"/>
        <v>-50</v>
      </c>
      <c r="F14" s="5">
        <f t="shared" si="2"/>
        <v>0</v>
      </c>
      <c r="G14" s="5">
        <f t="shared" si="2"/>
        <v>0</v>
      </c>
      <c r="H14" s="5">
        <f t="shared" si="2"/>
        <v>0</v>
      </c>
      <c r="I14" s="5">
        <f t="shared" si="2"/>
        <v>0</v>
      </c>
      <c r="J14" s="5">
        <f t="shared" si="2"/>
        <v>0</v>
      </c>
      <c r="K14" s="5">
        <f t="shared" si="2"/>
        <v>0</v>
      </c>
      <c r="L14" s="5">
        <f t="shared" si="2"/>
        <v>0</v>
      </c>
      <c r="M14" s="5">
        <f t="shared" si="2"/>
        <v>-10</v>
      </c>
      <c r="N14" s="5">
        <f t="shared" si="2"/>
        <v>0</v>
      </c>
      <c r="O14" s="5">
        <f t="shared" si="2"/>
        <v>0</v>
      </c>
      <c r="P14" s="5">
        <f t="shared" si="2"/>
        <v>0</v>
      </c>
      <c r="Q14" s="5">
        <f t="shared" si="2"/>
        <v>0</v>
      </c>
      <c r="R14" s="5">
        <f t="shared" si="2"/>
        <v>0</v>
      </c>
      <c r="S14" s="5">
        <f t="shared" si="2"/>
        <v>0</v>
      </c>
      <c r="T14" s="5">
        <f t="shared" si="2"/>
        <v>0</v>
      </c>
      <c r="U14" s="5">
        <f t="shared" ref="U14" si="3">SUM(U2:U13)</f>
        <v>0</v>
      </c>
      <c r="V14" s="5">
        <f t="shared" si="2"/>
        <v>0</v>
      </c>
      <c r="W14" s="13">
        <f>SUM(B2:V13)</f>
        <v>1090</v>
      </c>
      <c r="Y14" s="10">
        <f>SUM(Y2:Y13)</f>
        <v>0</v>
      </c>
      <c r="Z14" s="10">
        <f>SUM(Z2:Z13)</f>
        <v>0</v>
      </c>
      <c r="AA14" s="10">
        <f t="shared" ref="AA14:AS14" si="4">SUM(AA2:AA13)</f>
        <v>-250</v>
      </c>
      <c r="AB14" s="10">
        <f t="shared" si="4"/>
        <v>-50</v>
      </c>
      <c r="AC14" s="10">
        <f t="shared" si="4"/>
        <v>0</v>
      </c>
      <c r="AD14" s="10">
        <f t="shared" si="4"/>
        <v>0</v>
      </c>
      <c r="AE14" s="10">
        <f t="shared" si="4"/>
        <v>0</v>
      </c>
      <c r="AF14" s="10">
        <f t="shared" si="4"/>
        <v>0</v>
      </c>
      <c r="AG14" s="10">
        <f t="shared" si="4"/>
        <v>0</v>
      </c>
      <c r="AH14" s="10">
        <f t="shared" si="4"/>
        <v>0</v>
      </c>
      <c r="AI14" s="10">
        <f t="shared" si="4"/>
        <v>0</v>
      </c>
      <c r="AJ14" s="10">
        <f t="shared" si="4"/>
        <v>-10</v>
      </c>
      <c r="AK14" s="10">
        <f t="shared" si="4"/>
        <v>0</v>
      </c>
      <c r="AL14" s="10">
        <f t="shared" si="4"/>
        <v>0</v>
      </c>
      <c r="AM14" s="10">
        <f t="shared" si="4"/>
        <v>0</v>
      </c>
      <c r="AN14" s="10">
        <f t="shared" si="4"/>
        <v>0</v>
      </c>
      <c r="AO14" s="10">
        <f t="shared" si="4"/>
        <v>0</v>
      </c>
      <c r="AP14" s="10">
        <f t="shared" si="4"/>
        <v>0</v>
      </c>
      <c r="AQ14" s="10">
        <f t="shared" si="4"/>
        <v>0</v>
      </c>
      <c r="AR14" s="10">
        <f t="shared" ref="AR14" si="5">SUM(AR2:AR13)</f>
        <v>0</v>
      </c>
      <c r="AS14" s="10">
        <f t="shared" si="4"/>
        <v>-10</v>
      </c>
      <c r="AT14" s="14">
        <f>SUM(Y2:AS13)</f>
        <v>-320</v>
      </c>
      <c r="AU14" s="2"/>
    </row>
    <row r="15" spans="1:47" ht="21" thickTop="1" thickBot="1" x14ac:dyDescent="0.35">
      <c r="A15" s="6" t="s">
        <v>19</v>
      </c>
      <c r="B15" s="11" t="s">
        <v>4</v>
      </c>
      <c r="C15" s="11" t="s">
        <v>38</v>
      </c>
      <c r="D15" s="11" t="s">
        <v>5</v>
      </c>
      <c r="E15" s="11" t="s">
        <v>6</v>
      </c>
      <c r="F15" s="11" t="s">
        <v>7</v>
      </c>
      <c r="G15" s="11" t="s">
        <v>8</v>
      </c>
      <c r="H15" s="11" t="s">
        <v>9</v>
      </c>
      <c r="I15" s="11" t="s">
        <v>22</v>
      </c>
      <c r="J15" s="11" t="s">
        <v>25</v>
      </c>
      <c r="K15" s="11" t="s">
        <v>21</v>
      </c>
      <c r="L15" s="11" t="s">
        <v>18</v>
      </c>
      <c r="M15" s="11" t="s">
        <v>10</v>
      </c>
      <c r="N15" s="11" t="s">
        <v>11</v>
      </c>
      <c r="O15" s="11" t="s">
        <v>12</v>
      </c>
      <c r="P15" s="11" t="s">
        <v>13</v>
      </c>
      <c r="Q15" s="11" t="s">
        <v>14</v>
      </c>
      <c r="R15" s="11" t="s">
        <v>15</v>
      </c>
      <c r="S15" s="11" t="s">
        <v>23</v>
      </c>
      <c r="T15" s="11" t="s">
        <v>24</v>
      </c>
      <c r="U15" s="11" t="s">
        <v>39</v>
      </c>
      <c r="V15" s="11" t="s">
        <v>36</v>
      </c>
      <c r="X15" s="9" t="s">
        <v>20</v>
      </c>
      <c r="Y15" s="7" t="s">
        <v>4</v>
      </c>
      <c r="Z15" s="7" t="s">
        <v>38</v>
      </c>
      <c r="AA15" s="7" t="s">
        <v>5</v>
      </c>
      <c r="AB15" s="7" t="s">
        <v>6</v>
      </c>
      <c r="AC15" s="7" t="s">
        <v>7</v>
      </c>
      <c r="AD15" s="7" t="s">
        <v>8</v>
      </c>
      <c r="AE15" s="7" t="s">
        <v>9</v>
      </c>
      <c r="AF15" s="17" t="s">
        <v>22</v>
      </c>
      <c r="AG15" s="17" t="s">
        <v>25</v>
      </c>
      <c r="AH15" s="17" t="s">
        <v>21</v>
      </c>
      <c r="AI15" s="17" t="s">
        <v>18</v>
      </c>
      <c r="AJ15" s="7" t="s">
        <v>10</v>
      </c>
      <c r="AK15" s="7" t="s">
        <v>11</v>
      </c>
      <c r="AL15" s="7" t="s">
        <v>12</v>
      </c>
      <c r="AM15" s="7" t="s">
        <v>13</v>
      </c>
      <c r="AN15" s="7" t="s">
        <v>14</v>
      </c>
      <c r="AO15" s="7" t="s">
        <v>15</v>
      </c>
      <c r="AP15" s="17" t="s">
        <v>23</v>
      </c>
      <c r="AQ15" s="17" t="s">
        <v>24</v>
      </c>
      <c r="AR15" s="17" t="s">
        <v>39</v>
      </c>
      <c r="AS15" s="7" t="s">
        <v>36</v>
      </c>
    </row>
    <row r="16" spans="1:47" ht="16.5" thickTop="1" thickBot="1" x14ac:dyDescent="0.3">
      <c r="A16" s="4">
        <v>44927</v>
      </c>
      <c r="B16" s="2">
        <v>0</v>
      </c>
      <c r="C16" s="2">
        <v>0</v>
      </c>
      <c r="D16" s="2">
        <v>0</v>
      </c>
      <c r="E16" s="2">
        <v>0</v>
      </c>
      <c r="F16" s="2">
        <v>0</v>
      </c>
      <c r="G16" s="2">
        <v>0</v>
      </c>
      <c r="H16" s="2">
        <v>0</v>
      </c>
      <c r="I16" s="2">
        <v>0</v>
      </c>
      <c r="J16" s="2">
        <v>0</v>
      </c>
      <c r="K16" s="2">
        <v>0</v>
      </c>
      <c r="L16" s="2">
        <v>0</v>
      </c>
      <c r="M16" s="2">
        <v>0</v>
      </c>
      <c r="N16" s="2">
        <v>0</v>
      </c>
      <c r="O16" s="2">
        <v>0</v>
      </c>
      <c r="P16" s="2">
        <v>0</v>
      </c>
      <c r="Q16" s="2">
        <v>0</v>
      </c>
      <c r="R16" s="2">
        <v>0</v>
      </c>
      <c r="S16" s="2">
        <v>0</v>
      </c>
      <c r="T16" s="2">
        <v>0</v>
      </c>
      <c r="U16" s="2">
        <v>0</v>
      </c>
      <c r="V16" s="2">
        <v>0</v>
      </c>
      <c r="W16" s="5">
        <f t="shared" ref="W16:W27" si="6">SUM(B16:V16)</f>
        <v>0</v>
      </c>
      <c r="X16" s="8">
        <v>44927</v>
      </c>
      <c r="Y16" s="2">
        <v>0</v>
      </c>
      <c r="Z16" s="2">
        <v>0</v>
      </c>
      <c r="AA16" s="2">
        <v>0</v>
      </c>
      <c r="AB16" s="2">
        <v>0</v>
      </c>
      <c r="AC16" s="2">
        <v>0</v>
      </c>
      <c r="AD16" s="2">
        <v>0</v>
      </c>
      <c r="AE16" s="2">
        <v>0</v>
      </c>
      <c r="AF16" s="2">
        <v>0</v>
      </c>
      <c r="AG16" s="2">
        <v>0</v>
      </c>
      <c r="AH16" s="2">
        <v>0</v>
      </c>
      <c r="AI16" s="2">
        <v>0</v>
      </c>
      <c r="AJ16" s="2">
        <v>0</v>
      </c>
      <c r="AK16" s="2">
        <v>0</v>
      </c>
      <c r="AL16" s="2">
        <v>0</v>
      </c>
      <c r="AM16" s="2">
        <v>0</v>
      </c>
      <c r="AN16" s="2">
        <v>0</v>
      </c>
      <c r="AO16" s="2">
        <v>0</v>
      </c>
      <c r="AP16" s="2">
        <v>0</v>
      </c>
      <c r="AQ16" s="2">
        <v>0</v>
      </c>
      <c r="AR16" s="2">
        <v>0</v>
      </c>
      <c r="AS16" s="2">
        <v>0</v>
      </c>
      <c r="AT16" s="10">
        <f t="shared" ref="AT16:AT27" si="7">SUM(Y16:AS16)</f>
        <v>0</v>
      </c>
    </row>
    <row r="17" spans="1:47" ht="16.5" thickTop="1" thickBot="1" x14ac:dyDescent="0.3">
      <c r="A17" s="4">
        <v>44958</v>
      </c>
      <c r="B17" s="30">
        <v>500</v>
      </c>
      <c r="C17" s="2">
        <v>0</v>
      </c>
      <c r="D17" s="2">
        <v>0</v>
      </c>
      <c r="E17" s="2">
        <v>0</v>
      </c>
      <c r="F17" s="2">
        <v>0</v>
      </c>
      <c r="G17" s="2">
        <v>0</v>
      </c>
      <c r="H17" s="2">
        <v>0</v>
      </c>
      <c r="I17" s="2">
        <v>0</v>
      </c>
      <c r="J17" s="2">
        <v>0</v>
      </c>
      <c r="K17" s="2">
        <v>0</v>
      </c>
      <c r="L17" s="2">
        <v>0</v>
      </c>
      <c r="M17" s="2">
        <v>0</v>
      </c>
      <c r="N17" s="2">
        <v>0</v>
      </c>
      <c r="O17" s="2">
        <v>0</v>
      </c>
      <c r="P17" s="2">
        <v>0</v>
      </c>
      <c r="Q17" s="2">
        <v>0</v>
      </c>
      <c r="R17" s="2">
        <v>0</v>
      </c>
      <c r="S17" s="2">
        <v>0</v>
      </c>
      <c r="T17" s="2">
        <v>0</v>
      </c>
      <c r="U17" s="2">
        <v>0</v>
      </c>
      <c r="V17" s="2">
        <v>0</v>
      </c>
      <c r="W17" s="5">
        <f t="shared" si="6"/>
        <v>500</v>
      </c>
      <c r="X17" s="8">
        <v>44958</v>
      </c>
      <c r="Y17" s="30">
        <v>500</v>
      </c>
      <c r="Z17" s="2">
        <v>0</v>
      </c>
      <c r="AA17" s="2">
        <v>0</v>
      </c>
      <c r="AB17" s="2">
        <v>0</v>
      </c>
      <c r="AC17" s="2">
        <v>0</v>
      </c>
      <c r="AD17" s="2">
        <v>0</v>
      </c>
      <c r="AE17" s="2">
        <v>0</v>
      </c>
      <c r="AF17" s="2">
        <v>0</v>
      </c>
      <c r="AG17" s="2">
        <v>0</v>
      </c>
      <c r="AH17" s="2">
        <v>0</v>
      </c>
      <c r="AI17" s="2">
        <v>0</v>
      </c>
      <c r="AJ17" s="2">
        <v>0</v>
      </c>
      <c r="AK17" s="2">
        <v>0</v>
      </c>
      <c r="AL17" s="2">
        <v>0</v>
      </c>
      <c r="AM17" s="2">
        <v>0</v>
      </c>
      <c r="AN17" s="2">
        <v>0</v>
      </c>
      <c r="AO17" s="2">
        <v>0</v>
      </c>
      <c r="AP17" s="2">
        <v>0</v>
      </c>
      <c r="AQ17" s="2">
        <v>0</v>
      </c>
      <c r="AR17" s="2">
        <v>0</v>
      </c>
      <c r="AS17" s="2">
        <v>0</v>
      </c>
      <c r="AT17" s="10">
        <f t="shared" si="7"/>
        <v>500</v>
      </c>
      <c r="AU17" s="2"/>
    </row>
    <row r="18" spans="1:47" ht="16.5" thickTop="1" thickBot="1" x14ac:dyDescent="0.3">
      <c r="A18" s="4">
        <v>44986</v>
      </c>
      <c r="B18" s="2">
        <v>0</v>
      </c>
      <c r="C18" s="2">
        <v>0</v>
      </c>
      <c r="D18" s="2">
        <v>0</v>
      </c>
      <c r="E18" s="2">
        <v>0</v>
      </c>
      <c r="F18" s="2">
        <v>0</v>
      </c>
      <c r="G18" s="2">
        <v>0</v>
      </c>
      <c r="H18" s="2">
        <v>0</v>
      </c>
      <c r="I18" s="2">
        <v>0</v>
      </c>
      <c r="J18" s="2">
        <v>0</v>
      </c>
      <c r="K18" s="2">
        <v>0</v>
      </c>
      <c r="L18" s="2">
        <v>0</v>
      </c>
      <c r="M18" s="2">
        <v>0</v>
      </c>
      <c r="N18" s="2">
        <v>0</v>
      </c>
      <c r="O18" s="2">
        <v>0</v>
      </c>
      <c r="P18" s="2">
        <v>0</v>
      </c>
      <c r="Q18" s="2">
        <v>0</v>
      </c>
      <c r="R18" s="2">
        <v>0</v>
      </c>
      <c r="S18" s="2">
        <v>0</v>
      </c>
      <c r="T18" s="2">
        <v>0</v>
      </c>
      <c r="U18" s="2">
        <v>0</v>
      </c>
      <c r="V18" s="2">
        <v>0</v>
      </c>
      <c r="W18" s="5">
        <f t="shared" si="6"/>
        <v>0</v>
      </c>
      <c r="X18" s="8">
        <v>44986</v>
      </c>
      <c r="Y18" s="2">
        <v>0</v>
      </c>
      <c r="Z18" s="2">
        <v>0</v>
      </c>
      <c r="AA18" s="2">
        <v>0</v>
      </c>
      <c r="AB18" s="2">
        <v>0</v>
      </c>
      <c r="AC18" s="2">
        <v>0</v>
      </c>
      <c r="AD18" s="2">
        <v>0</v>
      </c>
      <c r="AE18" s="2">
        <v>0</v>
      </c>
      <c r="AF18" s="2">
        <v>0</v>
      </c>
      <c r="AG18" s="2">
        <v>0</v>
      </c>
      <c r="AH18" s="2">
        <v>0</v>
      </c>
      <c r="AI18" s="2">
        <v>0</v>
      </c>
      <c r="AJ18" s="2">
        <v>0</v>
      </c>
      <c r="AK18" s="2">
        <v>0</v>
      </c>
      <c r="AL18" s="2">
        <v>0</v>
      </c>
      <c r="AM18" s="2">
        <v>0</v>
      </c>
      <c r="AN18" s="2">
        <v>0</v>
      </c>
      <c r="AO18" s="2">
        <v>0</v>
      </c>
      <c r="AP18" s="2">
        <v>0</v>
      </c>
      <c r="AQ18" s="2">
        <v>0</v>
      </c>
      <c r="AR18" s="2">
        <v>0</v>
      </c>
      <c r="AS18" s="2">
        <v>0</v>
      </c>
      <c r="AT18" s="10">
        <f t="shared" si="7"/>
        <v>0</v>
      </c>
    </row>
    <row r="19" spans="1:47" ht="16.5" thickTop="1" thickBot="1" x14ac:dyDescent="0.3">
      <c r="A19" s="4">
        <v>45017</v>
      </c>
      <c r="B19" s="2">
        <v>0</v>
      </c>
      <c r="C19" s="2">
        <v>0</v>
      </c>
      <c r="D19" s="30">
        <v>-250</v>
      </c>
      <c r="E19" s="2">
        <v>0</v>
      </c>
      <c r="F19" s="2">
        <v>0</v>
      </c>
      <c r="G19" s="2">
        <v>0</v>
      </c>
      <c r="H19" s="2">
        <v>0</v>
      </c>
      <c r="I19" s="2">
        <v>0</v>
      </c>
      <c r="J19" s="2">
        <v>0</v>
      </c>
      <c r="K19" s="2">
        <v>0</v>
      </c>
      <c r="L19" s="2">
        <v>0</v>
      </c>
      <c r="M19" s="2">
        <v>0</v>
      </c>
      <c r="N19" s="2">
        <v>0</v>
      </c>
      <c r="O19" s="2">
        <v>0</v>
      </c>
      <c r="P19" s="2">
        <v>0</v>
      </c>
      <c r="Q19" s="2">
        <v>0</v>
      </c>
      <c r="R19" s="2">
        <v>0</v>
      </c>
      <c r="S19" s="2">
        <v>0</v>
      </c>
      <c r="T19" s="2">
        <v>0</v>
      </c>
      <c r="U19" s="2">
        <v>0</v>
      </c>
      <c r="V19" s="2">
        <v>0</v>
      </c>
      <c r="W19" s="5">
        <f t="shared" si="6"/>
        <v>-250</v>
      </c>
      <c r="X19" s="8">
        <v>45017</v>
      </c>
      <c r="Y19" s="2">
        <v>0</v>
      </c>
      <c r="Z19" s="2">
        <v>0</v>
      </c>
      <c r="AA19" s="30">
        <v>-250</v>
      </c>
      <c r="AB19" s="2">
        <v>0</v>
      </c>
      <c r="AC19" s="2">
        <v>0</v>
      </c>
      <c r="AD19" s="2">
        <v>0</v>
      </c>
      <c r="AE19" s="2">
        <v>0</v>
      </c>
      <c r="AF19" s="2">
        <v>0</v>
      </c>
      <c r="AG19" s="2">
        <v>0</v>
      </c>
      <c r="AH19" s="2">
        <v>0</v>
      </c>
      <c r="AI19" s="2">
        <v>0</v>
      </c>
      <c r="AJ19" s="2">
        <v>0</v>
      </c>
      <c r="AK19" s="2">
        <v>0</v>
      </c>
      <c r="AL19" s="2">
        <v>0</v>
      </c>
      <c r="AM19" s="2">
        <v>0</v>
      </c>
      <c r="AN19" s="2">
        <v>0</v>
      </c>
      <c r="AO19" s="2">
        <v>0</v>
      </c>
      <c r="AP19" s="2">
        <v>0</v>
      </c>
      <c r="AQ19" s="2">
        <v>0</v>
      </c>
      <c r="AR19" s="2">
        <v>0</v>
      </c>
      <c r="AS19" s="2">
        <v>0</v>
      </c>
      <c r="AT19" s="10">
        <f t="shared" si="7"/>
        <v>-250</v>
      </c>
    </row>
    <row r="20" spans="1:47" ht="16.5" thickTop="1" thickBot="1" x14ac:dyDescent="0.3">
      <c r="A20" s="4">
        <v>45047</v>
      </c>
      <c r="B20" s="2">
        <v>0</v>
      </c>
      <c r="C20" s="2">
        <v>0</v>
      </c>
      <c r="D20" s="2">
        <v>0</v>
      </c>
      <c r="E20" s="2">
        <v>0</v>
      </c>
      <c r="F20" s="2">
        <v>0</v>
      </c>
      <c r="G20" s="2">
        <v>0</v>
      </c>
      <c r="H20" s="2">
        <v>0</v>
      </c>
      <c r="I20" s="2">
        <v>0</v>
      </c>
      <c r="J20" s="2">
        <v>0</v>
      </c>
      <c r="K20" s="2">
        <v>0</v>
      </c>
      <c r="L20" s="2">
        <v>0</v>
      </c>
      <c r="M20" s="2">
        <v>0</v>
      </c>
      <c r="N20" s="2">
        <v>0</v>
      </c>
      <c r="O20" s="2">
        <v>0</v>
      </c>
      <c r="P20" s="2">
        <v>0</v>
      </c>
      <c r="Q20" s="2">
        <v>0</v>
      </c>
      <c r="R20" s="2">
        <v>0</v>
      </c>
      <c r="S20" s="2">
        <v>0</v>
      </c>
      <c r="T20" s="2">
        <v>0</v>
      </c>
      <c r="U20" s="2">
        <v>0</v>
      </c>
      <c r="V20" s="2">
        <v>0</v>
      </c>
      <c r="W20" s="5">
        <f t="shared" si="6"/>
        <v>0</v>
      </c>
      <c r="X20" s="8">
        <v>45047</v>
      </c>
      <c r="Y20" s="2">
        <v>0</v>
      </c>
      <c r="Z20" s="2">
        <v>0</v>
      </c>
      <c r="AA20" s="2">
        <v>0</v>
      </c>
      <c r="AB20" s="2">
        <v>0</v>
      </c>
      <c r="AC20" s="2">
        <v>0</v>
      </c>
      <c r="AD20" s="2">
        <v>0</v>
      </c>
      <c r="AE20" s="2">
        <v>0</v>
      </c>
      <c r="AF20" s="2">
        <v>0</v>
      </c>
      <c r="AG20" s="2">
        <v>0</v>
      </c>
      <c r="AH20" s="2">
        <v>0</v>
      </c>
      <c r="AI20" s="2">
        <v>0</v>
      </c>
      <c r="AJ20" s="2">
        <v>0</v>
      </c>
      <c r="AK20" s="2">
        <v>0</v>
      </c>
      <c r="AL20" s="2">
        <v>0</v>
      </c>
      <c r="AM20" s="2">
        <v>0</v>
      </c>
      <c r="AN20" s="2">
        <v>0</v>
      </c>
      <c r="AO20" s="2">
        <v>0</v>
      </c>
      <c r="AP20" s="2">
        <v>0</v>
      </c>
      <c r="AQ20" s="2">
        <v>0</v>
      </c>
      <c r="AR20" s="2">
        <v>0</v>
      </c>
      <c r="AS20" s="2">
        <v>0</v>
      </c>
      <c r="AT20" s="10">
        <f t="shared" si="7"/>
        <v>0</v>
      </c>
    </row>
    <row r="21" spans="1:47" ht="16.5" thickTop="1" thickBot="1" x14ac:dyDescent="0.3">
      <c r="A21" s="4">
        <v>45078</v>
      </c>
      <c r="B21" s="2">
        <v>0</v>
      </c>
      <c r="C21" s="2">
        <v>0</v>
      </c>
      <c r="D21" s="2">
        <v>0</v>
      </c>
      <c r="E21" s="2">
        <v>0</v>
      </c>
      <c r="F21" s="2">
        <v>0</v>
      </c>
      <c r="G21" s="2">
        <v>0</v>
      </c>
      <c r="H21" s="2">
        <v>0</v>
      </c>
      <c r="I21" s="2">
        <v>0</v>
      </c>
      <c r="J21" s="2">
        <v>0</v>
      </c>
      <c r="K21" s="2">
        <v>0</v>
      </c>
      <c r="L21" s="2">
        <v>0</v>
      </c>
      <c r="M21" s="2">
        <v>0</v>
      </c>
      <c r="N21" s="2">
        <v>0</v>
      </c>
      <c r="O21" s="2">
        <v>0</v>
      </c>
      <c r="P21" s="2">
        <v>0</v>
      </c>
      <c r="Q21" s="2">
        <v>0</v>
      </c>
      <c r="R21" s="2">
        <v>0</v>
      </c>
      <c r="S21" s="2">
        <v>0</v>
      </c>
      <c r="T21" s="2">
        <v>0</v>
      </c>
      <c r="U21" s="2">
        <v>0</v>
      </c>
      <c r="V21" s="2">
        <v>0</v>
      </c>
      <c r="W21" s="5">
        <f t="shared" si="6"/>
        <v>0</v>
      </c>
      <c r="X21" s="8">
        <v>45078</v>
      </c>
      <c r="Y21" s="2">
        <v>0</v>
      </c>
      <c r="Z21" s="2">
        <v>0</v>
      </c>
      <c r="AA21" s="2">
        <v>0</v>
      </c>
      <c r="AB21" s="2">
        <v>0</v>
      </c>
      <c r="AC21" s="2">
        <v>0</v>
      </c>
      <c r="AD21" s="2">
        <v>0</v>
      </c>
      <c r="AE21" s="2">
        <v>0</v>
      </c>
      <c r="AF21" s="2">
        <v>0</v>
      </c>
      <c r="AG21" s="2">
        <v>0</v>
      </c>
      <c r="AH21" s="2">
        <v>0</v>
      </c>
      <c r="AI21" s="2">
        <v>0</v>
      </c>
      <c r="AJ21" s="2">
        <v>0</v>
      </c>
      <c r="AK21" s="2">
        <v>0</v>
      </c>
      <c r="AL21" s="2">
        <v>0</v>
      </c>
      <c r="AM21" s="2">
        <v>0</v>
      </c>
      <c r="AN21" s="2">
        <v>0</v>
      </c>
      <c r="AO21" s="2">
        <v>0</v>
      </c>
      <c r="AP21" s="2">
        <v>0</v>
      </c>
      <c r="AQ21" s="2">
        <v>0</v>
      </c>
      <c r="AR21" s="2">
        <v>0</v>
      </c>
      <c r="AS21" s="2">
        <v>0</v>
      </c>
      <c r="AT21" s="10">
        <f t="shared" si="7"/>
        <v>0</v>
      </c>
    </row>
    <row r="22" spans="1:47" ht="16.5" thickTop="1" thickBot="1" x14ac:dyDescent="0.3">
      <c r="A22" s="4">
        <v>45108</v>
      </c>
      <c r="B22" s="2">
        <v>0</v>
      </c>
      <c r="C22" s="2">
        <v>0</v>
      </c>
      <c r="D22" s="2">
        <v>0</v>
      </c>
      <c r="E22" s="2">
        <v>0</v>
      </c>
      <c r="F22" s="2">
        <v>0</v>
      </c>
      <c r="G22" s="2">
        <v>0</v>
      </c>
      <c r="H22" s="2">
        <v>0</v>
      </c>
      <c r="I22" s="2">
        <v>0</v>
      </c>
      <c r="J22" s="2">
        <v>0</v>
      </c>
      <c r="K22" s="2">
        <v>0</v>
      </c>
      <c r="L22" s="2">
        <v>0</v>
      </c>
      <c r="M22" s="2">
        <v>0</v>
      </c>
      <c r="N22" s="2">
        <v>0</v>
      </c>
      <c r="O22" s="2">
        <v>0</v>
      </c>
      <c r="P22" s="2">
        <v>0</v>
      </c>
      <c r="Q22" s="2">
        <v>0</v>
      </c>
      <c r="R22" s="2">
        <v>0</v>
      </c>
      <c r="S22" s="2">
        <v>0</v>
      </c>
      <c r="T22" s="2">
        <v>0</v>
      </c>
      <c r="U22" s="2">
        <v>0</v>
      </c>
      <c r="V22" s="2">
        <v>0</v>
      </c>
      <c r="W22" s="5">
        <f t="shared" si="6"/>
        <v>0</v>
      </c>
      <c r="X22" s="8">
        <v>45108</v>
      </c>
      <c r="Y22" s="2">
        <v>0</v>
      </c>
      <c r="Z22" s="2">
        <v>0</v>
      </c>
      <c r="AA22" s="2">
        <v>0</v>
      </c>
      <c r="AB22" s="2">
        <v>0</v>
      </c>
      <c r="AC22" s="2">
        <v>0</v>
      </c>
      <c r="AD22" s="2">
        <v>0</v>
      </c>
      <c r="AE22" s="2">
        <v>0</v>
      </c>
      <c r="AF22" s="2">
        <v>0</v>
      </c>
      <c r="AG22" s="2">
        <v>0</v>
      </c>
      <c r="AH22" s="2">
        <v>0</v>
      </c>
      <c r="AI22" s="2">
        <v>0</v>
      </c>
      <c r="AJ22" s="2">
        <v>0</v>
      </c>
      <c r="AK22" s="2">
        <v>0</v>
      </c>
      <c r="AL22" s="2">
        <v>0</v>
      </c>
      <c r="AM22" s="2">
        <v>0</v>
      </c>
      <c r="AN22" s="2">
        <v>0</v>
      </c>
      <c r="AO22" s="2">
        <v>0</v>
      </c>
      <c r="AP22" s="2">
        <v>0</v>
      </c>
      <c r="AQ22" s="2">
        <v>0</v>
      </c>
      <c r="AR22" s="2">
        <v>0</v>
      </c>
      <c r="AS22" s="2">
        <v>0</v>
      </c>
      <c r="AT22" s="10">
        <f t="shared" si="7"/>
        <v>0</v>
      </c>
    </row>
    <row r="23" spans="1:47" ht="16.5" thickTop="1" thickBot="1" x14ac:dyDescent="0.3">
      <c r="A23" s="4">
        <v>45139</v>
      </c>
      <c r="B23" s="2">
        <v>0</v>
      </c>
      <c r="C23" s="2">
        <v>0</v>
      </c>
      <c r="D23" s="2">
        <v>0</v>
      </c>
      <c r="E23" s="30">
        <v>-50</v>
      </c>
      <c r="F23" s="2">
        <v>0</v>
      </c>
      <c r="G23" s="2">
        <v>0</v>
      </c>
      <c r="H23" s="2">
        <v>0</v>
      </c>
      <c r="I23" s="2">
        <v>0</v>
      </c>
      <c r="J23" s="2">
        <v>0</v>
      </c>
      <c r="K23" s="2">
        <v>0</v>
      </c>
      <c r="L23" s="2">
        <v>0</v>
      </c>
      <c r="M23" s="2">
        <v>0</v>
      </c>
      <c r="N23" s="2">
        <v>0</v>
      </c>
      <c r="O23" s="2">
        <v>0</v>
      </c>
      <c r="P23" s="2">
        <v>0</v>
      </c>
      <c r="Q23" s="2">
        <v>0</v>
      </c>
      <c r="R23" s="2">
        <v>0</v>
      </c>
      <c r="S23" s="2">
        <v>0</v>
      </c>
      <c r="T23" s="2">
        <v>0</v>
      </c>
      <c r="U23" s="2">
        <v>0</v>
      </c>
      <c r="V23" s="2">
        <v>0</v>
      </c>
      <c r="W23" s="5">
        <f t="shared" si="6"/>
        <v>-50</v>
      </c>
      <c r="X23" s="8">
        <v>45139</v>
      </c>
      <c r="Y23" s="2">
        <v>0</v>
      </c>
      <c r="Z23" s="2">
        <v>0</v>
      </c>
      <c r="AA23" s="2">
        <v>0</v>
      </c>
      <c r="AB23" s="30">
        <v>-50</v>
      </c>
      <c r="AC23" s="2">
        <v>0</v>
      </c>
      <c r="AD23" s="2">
        <v>0</v>
      </c>
      <c r="AE23" s="2">
        <v>0</v>
      </c>
      <c r="AF23" s="2">
        <v>0</v>
      </c>
      <c r="AG23" s="2">
        <v>0</v>
      </c>
      <c r="AH23" s="2">
        <v>0</v>
      </c>
      <c r="AI23" s="2">
        <v>0</v>
      </c>
      <c r="AJ23" s="2">
        <v>0</v>
      </c>
      <c r="AK23" s="2">
        <v>0</v>
      </c>
      <c r="AL23" s="2">
        <v>0</v>
      </c>
      <c r="AM23" s="2">
        <v>0</v>
      </c>
      <c r="AN23" s="2">
        <v>0</v>
      </c>
      <c r="AO23" s="2">
        <v>0</v>
      </c>
      <c r="AP23" s="2">
        <v>0</v>
      </c>
      <c r="AQ23" s="2">
        <v>0</v>
      </c>
      <c r="AR23" s="2">
        <v>0</v>
      </c>
      <c r="AS23" s="2">
        <v>0</v>
      </c>
      <c r="AT23" s="10">
        <f t="shared" si="7"/>
        <v>-50</v>
      </c>
    </row>
    <row r="24" spans="1:47" ht="16.5" thickTop="1" thickBot="1" x14ac:dyDescent="0.3">
      <c r="A24" s="4">
        <v>45170</v>
      </c>
      <c r="B24" s="2">
        <v>0</v>
      </c>
      <c r="C24" s="2">
        <v>0</v>
      </c>
      <c r="D24" s="2">
        <v>0</v>
      </c>
      <c r="E24" s="2">
        <v>0</v>
      </c>
      <c r="F24" s="2">
        <v>0</v>
      </c>
      <c r="G24" s="2">
        <v>0</v>
      </c>
      <c r="H24" s="2">
        <v>0</v>
      </c>
      <c r="I24" s="2">
        <v>0</v>
      </c>
      <c r="J24" s="2">
        <v>0</v>
      </c>
      <c r="K24" s="2">
        <v>0</v>
      </c>
      <c r="L24" s="2">
        <v>0</v>
      </c>
      <c r="M24" s="2">
        <v>0</v>
      </c>
      <c r="N24" s="2">
        <v>0</v>
      </c>
      <c r="O24" s="2">
        <v>0</v>
      </c>
      <c r="P24" s="2">
        <v>0</v>
      </c>
      <c r="Q24" s="2">
        <v>0</v>
      </c>
      <c r="R24" s="2">
        <v>0</v>
      </c>
      <c r="S24" s="2">
        <v>0</v>
      </c>
      <c r="T24" s="2">
        <v>0</v>
      </c>
      <c r="U24" s="2">
        <v>0</v>
      </c>
      <c r="V24" s="2">
        <v>0</v>
      </c>
      <c r="W24" s="5">
        <f t="shared" si="6"/>
        <v>0</v>
      </c>
      <c r="X24" s="8">
        <v>45170</v>
      </c>
      <c r="Y24" s="2">
        <v>0</v>
      </c>
      <c r="Z24" s="2">
        <v>0</v>
      </c>
      <c r="AA24" s="2">
        <v>0</v>
      </c>
      <c r="AB24" s="2">
        <v>0</v>
      </c>
      <c r="AC24" s="2">
        <v>0</v>
      </c>
      <c r="AD24" s="2">
        <v>0</v>
      </c>
      <c r="AE24" s="2">
        <v>0</v>
      </c>
      <c r="AF24" s="2">
        <v>0</v>
      </c>
      <c r="AG24" s="2">
        <v>0</v>
      </c>
      <c r="AH24" s="2">
        <v>0</v>
      </c>
      <c r="AI24" s="2">
        <v>0</v>
      </c>
      <c r="AJ24" s="2">
        <v>0</v>
      </c>
      <c r="AK24" s="2">
        <v>0</v>
      </c>
      <c r="AL24" s="2">
        <v>0</v>
      </c>
      <c r="AM24" s="2">
        <v>0</v>
      </c>
      <c r="AN24" s="2">
        <v>0</v>
      </c>
      <c r="AO24" s="2">
        <v>0</v>
      </c>
      <c r="AP24" s="2">
        <v>0</v>
      </c>
      <c r="AQ24" s="2">
        <v>0</v>
      </c>
      <c r="AR24" s="2">
        <v>0</v>
      </c>
      <c r="AS24" s="2">
        <v>0</v>
      </c>
      <c r="AT24" s="10">
        <f t="shared" si="7"/>
        <v>0</v>
      </c>
    </row>
    <row r="25" spans="1:47" ht="16.5" thickTop="1" thickBot="1" x14ac:dyDescent="0.3">
      <c r="A25" s="4">
        <v>45200</v>
      </c>
      <c r="B25" s="2">
        <v>0</v>
      </c>
      <c r="C25" s="2">
        <v>0</v>
      </c>
      <c r="D25" s="2">
        <v>0</v>
      </c>
      <c r="E25" s="2">
        <v>0</v>
      </c>
      <c r="F25" s="2">
        <v>0</v>
      </c>
      <c r="G25" s="2">
        <v>0</v>
      </c>
      <c r="H25" s="2">
        <v>0</v>
      </c>
      <c r="I25" s="2">
        <v>0</v>
      </c>
      <c r="J25" s="2">
        <v>0</v>
      </c>
      <c r="K25" s="2">
        <v>0</v>
      </c>
      <c r="L25" s="2">
        <v>0</v>
      </c>
      <c r="M25" s="30">
        <v>-10</v>
      </c>
      <c r="N25" s="2">
        <v>0</v>
      </c>
      <c r="O25" s="2">
        <v>0</v>
      </c>
      <c r="P25" s="2">
        <v>0</v>
      </c>
      <c r="Q25" s="2">
        <v>0</v>
      </c>
      <c r="R25" s="2">
        <v>0</v>
      </c>
      <c r="S25" s="2">
        <v>0</v>
      </c>
      <c r="T25" s="2">
        <v>0</v>
      </c>
      <c r="U25" s="2">
        <v>0</v>
      </c>
      <c r="V25" s="2">
        <v>0</v>
      </c>
      <c r="W25" s="5">
        <f t="shared" si="6"/>
        <v>-10</v>
      </c>
      <c r="X25" s="8">
        <v>45200</v>
      </c>
      <c r="Y25" s="2">
        <v>0</v>
      </c>
      <c r="Z25" s="2">
        <v>0</v>
      </c>
      <c r="AA25" s="2">
        <v>0</v>
      </c>
      <c r="AB25" s="2">
        <v>0</v>
      </c>
      <c r="AC25" s="2">
        <v>0</v>
      </c>
      <c r="AD25" s="2">
        <v>0</v>
      </c>
      <c r="AE25" s="2">
        <v>0</v>
      </c>
      <c r="AF25" s="2">
        <v>0</v>
      </c>
      <c r="AG25" s="2">
        <v>0</v>
      </c>
      <c r="AH25" s="2">
        <v>0</v>
      </c>
      <c r="AI25" s="2">
        <v>0</v>
      </c>
      <c r="AJ25" s="30">
        <v>-10</v>
      </c>
      <c r="AK25" s="2">
        <v>0</v>
      </c>
      <c r="AL25" s="2">
        <v>0</v>
      </c>
      <c r="AM25" s="2">
        <v>0</v>
      </c>
      <c r="AN25" s="2">
        <v>0</v>
      </c>
      <c r="AO25" s="2">
        <v>0</v>
      </c>
      <c r="AP25" s="2">
        <v>0</v>
      </c>
      <c r="AQ25" s="2">
        <v>0</v>
      </c>
      <c r="AR25" s="2">
        <v>0</v>
      </c>
      <c r="AS25" s="2">
        <v>0</v>
      </c>
      <c r="AT25" s="10">
        <f t="shared" si="7"/>
        <v>-10</v>
      </c>
    </row>
    <row r="26" spans="1:47" ht="16.5" thickTop="1" thickBot="1" x14ac:dyDescent="0.3">
      <c r="A26" s="4">
        <v>45231</v>
      </c>
      <c r="B26" s="2">
        <v>0</v>
      </c>
      <c r="C26" s="2">
        <v>0</v>
      </c>
      <c r="D26" s="2">
        <v>0</v>
      </c>
      <c r="E26" s="2">
        <v>0</v>
      </c>
      <c r="F26" s="2">
        <v>0</v>
      </c>
      <c r="G26" s="2">
        <v>0</v>
      </c>
      <c r="H26" s="2">
        <v>0</v>
      </c>
      <c r="I26" s="2">
        <v>0</v>
      </c>
      <c r="J26" s="2">
        <v>0</v>
      </c>
      <c r="K26" s="2">
        <v>0</v>
      </c>
      <c r="L26" s="2">
        <v>0</v>
      </c>
      <c r="M26" s="2">
        <v>0</v>
      </c>
      <c r="N26" s="2">
        <v>0</v>
      </c>
      <c r="O26" s="2">
        <v>0</v>
      </c>
      <c r="P26" s="2">
        <v>0</v>
      </c>
      <c r="Q26" s="2">
        <v>0</v>
      </c>
      <c r="R26" s="2">
        <v>0</v>
      </c>
      <c r="S26" s="2">
        <v>0</v>
      </c>
      <c r="T26" s="2">
        <v>0</v>
      </c>
      <c r="U26" s="2">
        <v>0</v>
      </c>
      <c r="V26" s="2">
        <v>0</v>
      </c>
      <c r="W26" s="5">
        <f t="shared" si="6"/>
        <v>0</v>
      </c>
      <c r="X26" s="8">
        <v>45231</v>
      </c>
      <c r="Y26" s="2">
        <v>0</v>
      </c>
      <c r="Z26" s="2">
        <v>0</v>
      </c>
      <c r="AA26" s="2">
        <v>0</v>
      </c>
      <c r="AB26" s="2">
        <v>0</v>
      </c>
      <c r="AC26" s="2">
        <v>0</v>
      </c>
      <c r="AD26" s="2">
        <v>0</v>
      </c>
      <c r="AE26" s="2">
        <v>0</v>
      </c>
      <c r="AF26" s="2">
        <v>0</v>
      </c>
      <c r="AG26" s="2">
        <v>0</v>
      </c>
      <c r="AH26" s="2">
        <v>0</v>
      </c>
      <c r="AI26" s="2">
        <v>0</v>
      </c>
      <c r="AJ26" s="2">
        <v>0</v>
      </c>
      <c r="AK26" s="2">
        <v>0</v>
      </c>
      <c r="AL26" s="2">
        <v>0</v>
      </c>
      <c r="AM26" s="2">
        <v>0</v>
      </c>
      <c r="AN26" s="2">
        <v>0</v>
      </c>
      <c r="AO26" s="2">
        <v>0</v>
      </c>
      <c r="AP26" s="2">
        <v>0</v>
      </c>
      <c r="AQ26" s="2">
        <v>0</v>
      </c>
      <c r="AR26" s="2">
        <v>0</v>
      </c>
      <c r="AS26" s="2">
        <v>0</v>
      </c>
      <c r="AT26" s="10">
        <f t="shared" si="7"/>
        <v>0</v>
      </c>
    </row>
    <row r="27" spans="1:47" ht="16.5" thickTop="1" thickBot="1" x14ac:dyDescent="0.3">
      <c r="A27" s="4">
        <v>45261</v>
      </c>
      <c r="B27" s="2">
        <v>0</v>
      </c>
      <c r="C27" s="2">
        <v>0</v>
      </c>
      <c r="D27" s="2">
        <v>0</v>
      </c>
      <c r="E27" s="2">
        <v>0</v>
      </c>
      <c r="F27" s="2">
        <v>0</v>
      </c>
      <c r="G27" s="2">
        <v>0</v>
      </c>
      <c r="H27" s="2">
        <v>0</v>
      </c>
      <c r="I27" s="2">
        <v>0</v>
      </c>
      <c r="J27" s="2">
        <v>0</v>
      </c>
      <c r="K27" s="2">
        <v>0</v>
      </c>
      <c r="L27" s="2">
        <v>0</v>
      </c>
      <c r="M27" s="2">
        <v>0</v>
      </c>
      <c r="N27" s="2">
        <v>0</v>
      </c>
      <c r="O27" s="2">
        <v>0</v>
      </c>
      <c r="P27" s="2">
        <v>0</v>
      </c>
      <c r="Q27" s="2">
        <v>0</v>
      </c>
      <c r="R27" s="2">
        <v>0</v>
      </c>
      <c r="S27" s="2">
        <v>0</v>
      </c>
      <c r="T27" s="2">
        <v>0</v>
      </c>
      <c r="U27" s="2">
        <v>0</v>
      </c>
      <c r="V27" s="30">
        <v>-10</v>
      </c>
      <c r="W27" s="5">
        <f t="shared" si="6"/>
        <v>-10</v>
      </c>
      <c r="X27" s="8">
        <v>45261</v>
      </c>
      <c r="Y27" s="2">
        <v>0</v>
      </c>
      <c r="Z27" s="2">
        <v>0</v>
      </c>
      <c r="AA27" s="2">
        <v>0</v>
      </c>
      <c r="AB27" s="2">
        <v>0</v>
      </c>
      <c r="AC27" s="2">
        <v>0</v>
      </c>
      <c r="AD27" s="2">
        <v>0</v>
      </c>
      <c r="AE27" s="2">
        <v>0</v>
      </c>
      <c r="AF27" s="2">
        <v>0</v>
      </c>
      <c r="AG27" s="2">
        <v>0</v>
      </c>
      <c r="AH27" s="2">
        <v>0</v>
      </c>
      <c r="AI27" s="2">
        <v>0</v>
      </c>
      <c r="AJ27" s="2">
        <v>0</v>
      </c>
      <c r="AK27" s="2">
        <v>0</v>
      </c>
      <c r="AL27" s="2">
        <v>0</v>
      </c>
      <c r="AM27" s="2">
        <v>0</v>
      </c>
      <c r="AN27" s="2">
        <v>0</v>
      </c>
      <c r="AO27" s="2">
        <v>0</v>
      </c>
      <c r="AP27" s="2">
        <v>0</v>
      </c>
      <c r="AQ27" s="2">
        <v>0</v>
      </c>
      <c r="AR27" s="2">
        <v>0</v>
      </c>
      <c r="AS27" s="2">
        <v>0</v>
      </c>
      <c r="AT27" s="10">
        <f t="shared" si="7"/>
        <v>0</v>
      </c>
    </row>
    <row r="28" spans="1:47" ht="17.25" thickTop="1" thickBot="1" x14ac:dyDescent="0.3">
      <c r="B28" s="5">
        <f>SUM(B16:B27)</f>
        <v>500</v>
      </c>
      <c r="C28" s="5">
        <f>SUM(C16:C27)</f>
        <v>0</v>
      </c>
      <c r="D28" s="5">
        <f t="shared" ref="D28:V28" si="8">SUM(D16:D27)</f>
        <v>-250</v>
      </c>
      <c r="E28" s="5">
        <f t="shared" si="8"/>
        <v>-50</v>
      </c>
      <c r="F28" s="5">
        <f t="shared" si="8"/>
        <v>0</v>
      </c>
      <c r="G28" s="5">
        <f t="shared" si="8"/>
        <v>0</v>
      </c>
      <c r="H28" s="5">
        <f t="shared" si="8"/>
        <v>0</v>
      </c>
      <c r="I28" s="5">
        <f t="shared" si="8"/>
        <v>0</v>
      </c>
      <c r="J28" s="5">
        <f t="shared" si="8"/>
        <v>0</v>
      </c>
      <c r="K28" s="5">
        <f t="shared" si="8"/>
        <v>0</v>
      </c>
      <c r="L28" s="5">
        <f t="shared" si="8"/>
        <v>0</v>
      </c>
      <c r="M28" s="5">
        <f t="shared" si="8"/>
        <v>-10</v>
      </c>
      <c r="N28" s="5">
        <f t="shared" si="8"/>
        <v>0</v>
      </c>
      <c r="O28" s="5">
        <f t="shared" si="8"/>
        <v>0</v>
      </c>
      <c r="P28" s="5">
        <f t="shared" si="8"/>
        <v>0</v>
      </c>
      <c r="Q28" s="5">
        <f t="shared" si="8"/>
        <v>0</v>
      </c>
      <c r="R28" s="5">
        <f t="shared" si="8"/>
        <v>0</v>
      </c>
      <c r="S28" s="5">
        <f t="shared" si="8"/>
        <v>0</v>
      </c>
      <c r="T28" s="5">
        <f t="shared" si="8"/>
        <v>0</v>
      </c>
      <c r="U28" s="5">
        <f t="shared" ref="U28" si="9">SUM(U16:U27)</f>
        <v>0</v>
      </c>
      <c r="V28" s="5">
        <f t="shared" si="8"/>
        <v>-10</v>
      </c>
      <c r="W28" s="13">
        <f>SUM(B16:V27)</f>
        <v>180</v>
      </c>
      <c r="Y28" s="10">
        <f>SUM(Y16:Y27)</f>
        <v>500</v>
      </c>
      <c r="Z28" s="10">
        <f>SUM(Z16:Z27)</f>
        <v>0</v>
      </c>
      <c r="AA28" s="10">
        <f>SUM(AA16:AA27)</f>
        <v>-250</v>
      </c>
      <c r="AB28" s="10">
        <f>SUM(AB16:AB27)</f>
        <v>-50</v>
      </c>
      <c r="AC28" s="10">
        <f>SUM(AC16:AC27)</f>
        <v>0</v>
      </c>
      <c r="AD28" s="10">
        <f t="shared" ref="AD28:AS28" si="10">SUM(AD16:AD27)</f>
        <v>0</v>
      </c>
      <c r="AE28" s="10">
        <f t="shared" si="10"/>
        <v>0</v>
      </c>
      <c r="AF28" s="10">
        <f t="shared" si="10"/>
        <v>0</v>
      </c>
      <c r="AG28" s="10">
        <f t="shared" si="10"/>
        <v>0</v>
      </c>
      <c r="AH28" s="10">
        <f t="shared" si="10"/>
        <v>0</v>
      </c>
      <c r="AI28" s="10">
        <f t="shared" si="10"/>
        <v>0</v>
      </c>
      <c r="AJ28" s="10">
        <f t="shared" si="10"/>
        <v>-10</v>
      </c>
      <c r="AK28" s="10">
        <f t="shared" si="10"/>
        <v>0</v>
      </c>
      <c r="AL28" s="10">
        <f t="shared" si="10"/>
        <v>0</v>
      </c>
      <c r="AM28" s="10">
        <f t="shared" si="10"/>
        <v>0</v>
      </c>
      <c r="AN28" s="10">
        <f t="shared" si="10"/>
        <v>0</v>
      </c>
      <c r="AO28" s="10">
        <f t="shared" si="10"/>
        <v>0</v>
      </c>
      <c r="AP28" s="10">
        <f t="shared" si="10"/>
        <v>0</v>
      </c>
      <c r="AQ28" s="10">
        <f t="shared" si="10"/>
        <v>0</v>
      </c>
      <c r="AR28" s="10">
        <f t="shared" ref="AR28" si="11">SUM(AR16:AR27)</f>
        <v>0</v>
      </c>
      <c r="AS28" s="10">
        <f t="shared" si="10"/>
        <v>0</v>
      </c>
      <c r="AT28" s="14">
        <f>SUM(Y16:AS27)</f>
        <v>190</v>
      </c>
      <c r="AU28" s="16"/>
    </row>
    <row r="29" spans="1:47" ht="15.75" thickTop="1" x14ac:dyDescent="0.25"/>
  </sheetData>
  <phoneticPr fontId="1" type="noConversion"/>
  <pageMargins left="0.7" right="0.7" top="0.75" bottom="0.75" header="0.3" footer="0.3"/>
  <pageSetup orientation="portrait" horizontalDpi="4294967293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8C1C17-64D9-4221-BECA-7B19FB04FE9C}">
  <sheetPr codeName="Sheet4"/>
  <dimension ref="A1:X29"/>
  <sheetViews>
    <sheetView topLeftCell="D1" zoomScale="85" zoomScaleNormal="85" workbookViewId="0">
      <selection activeCell="B27" sqref="B16:V27"/>
    </sheetView>
  </sheetViews>
  <sheetFormatPr defaultColWidth="14.5703125" defaultRowHeight="15" x14ac:dyDescent="0.25"/>
  <sheetData>
    <row r="1" spans="1:24" ht="20.25" thickBot="1" x14ac:dyDescent="0.35">
      <c r="A1" s="12">
        <v>2022</v>
      </c>
      <c r="B1" s="11" t="s">
        <v>4</v>
      </c>
      <c r="C1" s="11" t="s">
        <v>38</v>
      </c>
      <c r="D1" s="11" t="s">
        <v>5</v>
      </c>
      <c r="E1" s="11" t="s">
        <v>6</v>
      </c>
      <c r="F1" s="11" t="s">
        <v>7</v>
      </c>
      <c r="G1" s="11" t="s">
        <v>8</v>
      </c>
      <c r="H1" s="11" t="s">
        <v>9</v>
      </c>
      <c r="I1" s="11" t="s">
        <v>22</v>
      </c>
      <c r="J1" s="11" t="s">
        <v>25</v>
      </c>
      <c r="K1" s="11" t="s">
        <v>21</v>
      </c>
      <c r="L1" s="11" t="s">
        <v>18</v>
      </c>
      <c r="M1" s="11" t="s">
        <v>10</v>
      </c>
      <c r="N1" s="11" t="s">
        <v>11</v>
      </c>
      <c r="O1" s="11" t="s">
        <v>12</v>
      </c>
      <c r="P1" s="11" t="s">
        <v>13</v>
      </c>
      <c r="Q1" s="11" t="s">
        <v>14</v>
      </c>
      <c r="R1" s="11" t="s">
        <v>15</v>
      </c>
      <c r="S1" s="11" t="s">
        <v>23</v>
      </c>
      <c r="T1" s="11" t="s">
        <v>24</v>
      </c>
      <c r="U1" s="11" t="s">
        <v>39</v>
      </c>
      <c r="V1" s="11" t="s">
        <v>36</v>
      </c>
    </row>
    <row r="2" spans="1:24" ht="16.5" thickTop="1" thickBot="1" x14ac:dyDescent="0.3">
      <c r="A2" s="4">
        <v>44562</v>
      </c>
      <c r="B2" s="30">
        <v>1000</v>
      </c>
      <c r="C2" s="2">
        <v>0</v>
      </c>
      <c r="D2" s="2">
        <v>0</v>
      </c>
      <c r="E2" s="2">
        <v>0</v>
      </c>
      <c r="F2" s="2">
        <v>0</v>
      </c>
      <c r="G2" s="2">
        <v>0</v>
      </c>
      <c r="H2" s="2">
        <v>0</v>
      </c>
      <c r="I2" s="2">
        <v>0</v>
      </c>
      <c r="J2" s="2">
        <v>0</v>
      </c>
      <c r="K2" s="2">
        <v>0</v>
      </c>
      <c r="L2" s="2">
        <v>0</v>
      </c>
      <c r="M2" s="2">
        <v>0</v>
      </c>
      <c r="N2" s="2">
        <v>0</v>
      </c>
      <c r="O2" s="2">
        <v>0</v>
      </c>
      <c r="P2" s="2">
        <v>0</v>
      </c>
      <c r="Q2" s="2">
        <v>0</v>
      </c>
      <c r="R2" s="2">
        <v>0</v>
      </c>
      <c r="S2" s="2">
        <v>0</v>
      </c>
      <c r="T2" s="2">
        <v>0</v>
      </c>
      <c r="U2" s="2">
        <v>0</v>
      </c>
      <c r="V2" s="2">
        <v>0</v>
      </c>
      <c r="W2" s="5">
        <f t="shared" ref="W2:W13" si="0">SUM(B2:V2)</f>
        <v>1000</v>
      </c>
    </row>
    <row r="3" spans="1:24" ht="16.5" thickTop="1" thickBot="1" x14ac:dyDescent="0.3">
      <c r="A3" s="4">
        <v>44593</v>
      </c>
      <c r="B3" s="2">
        <v>0</v>
      </c>
      <c r="C3" s="2">
        <v>0</v>
      </c>
      <c r="D3" s="2">
        <v>0</v>
      </c>
      <c r="E3" s="2">
        <v>0</v>
      </c>
      <c r="F3" s="2">
        <v>0</v>
      </c>
      <c r="G3" s="2">
        <v>0</v>
      </c>
      <c r="H3" s="2">
        <v>0</v>
      </c>
      <c r="I3" s="2">
        <v>0</v>
      </c>
      <c r="J3" s="2">
        <v>0</v>
      </c>
      <c r="K3" s="2">
        <v>0</v>
      </c>
      <c r="L3" s="2">
        <v>0</v>
      </c>
      <c r="M3" s="2">
        <v>0</v>
      </c>
      <c r="N3" s="2">
        <v>0</v>
      </c>
      <c r="O3" s="2">
        <v>0</v>
      </c>
      <c r="P3" s="2">
        <v>0</v>
      </c>
      <c r="Q3" s="2">
        <v>0</v>
      </c>
      <c r="R3" s="2">
        <v>0</v>
      </c>
      <c r="S3" s="2">
        <v>0</v>
      </c>
      <c r="T3" s="2">
        <v>0</v>
      </c>
      <c r="U3" s="2">
        <v>0</v>
      </c>
      <c r="V3" s="2">
        <v>0</v>
      </c>
      <c r="W3" s="5">
        <f t="shared" si="0"/>
        <v>0</v>
      </c>
      <c r="X3" s="2">
        <f t="shared" ref="X3:X13" si="1">SUM(E3:V3)</f>
        <v>0</v>
      </c>
    </row>
    <row r="4" spans="1:24" ht="16.5" thickTop="1" thickBot="1" x14ac:dyDescent="0.3">
      <c r="A4" s="4">
        <v>44621</v>
      </c>
      <c r="B4" s="2">
        <v>0</v>
      </c>
      <c r="C4" s="2">
        <v>0</v>
      </c>
      <c r="D4" s="30">
        <v>-500</v>
      </c>
      <c r="E4" s="2">
        <v>0</v>
      </c>
      <c r="F4" s="2">
        <v>0</v>
      </c>
      <c r="G4" s="2">
        <v>0</v>
      </c>
      <c r="H4" s="2">
        <v>0</v>
      </c>
      <c r="I4" s="2">
        <v>0</v>
      </c>
      <c r="J4" s="2">
        <v>0</v>
      </c>
      <c r="K4" s="2">
        <v>0</v>
      </c>
      <c r="L4" s="2">
        <v>0</v>
      </c>
      <c r="M4" s="2">
        <v>0</v>
      </c>
      <c r="N4" s="2">
        <v>0</v>
      </c>
      <c r="O4" s="2">
        <v>0</v>
      </c>
      <c r="P4" s="2">
        <v>0</v>
      </c>
      <c r="Q4" s="2">
        <v>0</v>
      </c>
      <c r="R4" s="2">
        <v>0</v>
      </c>
      <c r="S4" s="2">
        <v>0</v>
      </c>
      <c r="T4" s="2">
        <v>0</v>
      </c>
      <c r="U4" s="2">
        <v>0</v>
      </c>
      <c r="V4" s="2">
        <v>0</v>
      </c>
      <c r="W4" s="5">
        <f t="shared" si="0"/>
        <v>-500</v>
      </c>
      <c r="X4" s="2">
        <f t="shared" si="1"/>
        <v>0</v>
      </c>
    </row>
    <row r="5" spans="1:24" ht="16.5" thickTop="1" thickBot="1" x14ac:dyDescent="0.3">
      <c r="A5" s="4">
        <v>44652</v>
      </c>
      <c r="B5" s="2">
        <v>0</v>
      </c>
      <c r="C5" s="2">
        <v>0</v>
      </c>
      <c r="D5" s="2">
        <v>0</v>
      </c>
      <c r="E5" s="2">
        <v>0</v>
      </c>
      <c r="F5" s="2">
        <v>0</v>
      </c>
      <c r="G5" s="2">
        <v>0</v>
      </c>
      <c r="H5" s="2">
        <v>0</v>
      </c>
      <c r="I5" s="2">
        <v>0</v>
      </c>
      <c r="J5" s="2">
        <v>0</v>
      </c>
      <c r="K5" s="2">
        <v>0</v>
      </c>
      <c r="L5" s="2">
        <v>0</v>
      </c>
      <c r="M5" s="2">
        <v>0</v>
      </c>
      <c r="N5" s="2">
        <v>0</v>
      </c>
      <c r="O5" s="2">
        <v>0</v>
      </c>
      <c r="P5" s="2">
        <v>0</v>
      </c>
      <c r="Q5" s="2">
        <v>0</v>
      </c>
      <c r="R5" s="2">
        <v>0</v>
      </c>
      <c r="S5" s="2">
        <v>0</v>
      </c>
      <c r="T5" s="2">
        <v>0</v>
      </c>
      <c r="U5" s="2">
        <v>0</v>
      </c>
      <c r="V5" s="2">
        <v>0</v>
      </c>
      <c r="W5" s="5">
        <f t="shared" si="0"/>
        <v>0</v>
      </c>
      <c r="X5" s="2">
        <f t="shared" si="1"/>
        <v>0</v>
      </c>
    </row>
    <row r="6" spans="1:24" ht="16.5" thickTop="1" thickBot="1" x14ac:dyDescent="0.3">
      <c r="A6" s="4">
        <v>44682</v>
      </c>
      <c r="B6" s="2">
        <v>0</v>
      </c>
      <c r="C6" s="30">
        <v>200</v>
      </c>
      <c r="D6" s="2">
        <v>0</v>
      </c>
      <c r="E6" s="2">
        <v>0</v>
      </c>
      <c r="F6" s="2">
        <v>0</v>
      </c>
      <c r="G6" s="2">
        <v>0</v>
      </c>
      <c r="H6" s="2">
        <v>0</v>
      </c>
      <c r="I6" s="2">
        <v>0</v>
      </c>
      <c r="J6" s="2">
        <v>0</v>
      </c>
      <c r="K6" s="2">
        <v>0</v>
      </c>
      <c r="L6" s="2">
        <v>0</v>
      </c>
      <c r="M6" s="2">
        <v>0</v>
      </c>
      <c r="N6" s="2">
        <v>0</v>
      </c>
      <c r="O6" s="2">
        <v>0</v>
      </c>
      <c r="P6" s="2">
        <v>0</v>
      </c>
      <c r="Q6" s="2">
        <v>0</v>
      </c>
      <c r="R6" s="2">
        <v>0</v>
      </c>
      <c r="S6" s="2">
        <v>0</v>
      </c>
      <c r="T6" s="2">
        <v>0</v>
      </c>
      <c r="U6" s="2">
        <v>0</v>
      </c>
      <c r="V6" s="2">
        <v>0</v>
      </c>
      <c r="W6" s="5">
        <f t="shared" si="0"/>
        <v>200</v>
      </c>
      <c r="X6" s="2">
        <f t="shared" si="1"/>
        <v>0</v>
      </c>
    </row>
    <row r="7" spans="1:24" ht="16.5" thickTop="1" thickBot="1" x14ac:dyDescent="0.3">
      <c r="A7" s="4">
        <v>44713</v>
      </c>
      <c r="B7" s="2">
        <v>0</v>
      </c>
      <c r="C7" s="30">
        <v>200</v>
      </c>
      <c r="D7" s="2">
        <v>0</v>
      </c>
      <c r="E7" s="2">
        <v>0</v>
      </c>
      <c r="F7" s="2">
        <v>0</v>
      </c>
      <c r="G7" s="2">
        <v>0</v>
      </c>
      <c r="H7" s="2">
        <v>0</v>
      </c>
      <c r="I7" s="2">
        <v>0</v>
      </c>
      <c r="J7" s="2">
        <v>0</v>
      </c>
      <c r="K7" s="2">
        <v>0</v>
      </c>
      <c r="L7" s="2">
        <v>0</v>
      </c>
      <c r="M7" s="2">
        <v>0</v>
      </c>
      <c r="N7" s="2">
        <v>0</v>
      </c>
      <c r="O7" s="2">
        <v>0</v>
      </c>
      <c r="P7" s="2">
        <v>0</v>
      </c>
      <c r="Q7" s="2">
        <v>0</v>
      </c>
      <c r="R7" s="2">
        <v>0</v>
      </c>
      <c r="S7" s="2">
        <v>0</v>
      </c>
      <c r="T7" s="2">
        <v>0</v>
      </c>
      <c r="U7" s="2">
        <v>0</v>
      </c>
      <c r="V7" s="2">
        <v>0</v>
      </c>
      <c r="W7" s="5">
        <f t="shared" si="0"/>
        <v>200</v>
      </c>
      <c r="X7" s="2">
        <f t="shared" si="1"/>
        <v>0</v>
      </c>
    </row>
    <row r="8" spans="1:24" ht="16.5" thickTop="1" thickBot="1" x14ac:dyDescent="0.3">
      <c r="A8" s="4">
        <v>44743</v>
      </c>
      <c r="B8" s="2">
        <v>0</v>
      </c>
      <c r="C8" s="2">
        <v>0</v>
      </c>
      <c r="D8" s="2">
        <v>0</v>
      </c>
      <c r="E8" s="30">
        <v>-100</v>
      </c>
      <c r="F8" s="2">
        <v>0</v>
      </c>
      <c r="G8" s="2">
        <v>0</v>
      </c>
      <c r="H8" s="2">
        <v>0</v>
      </c>
      <c r="I8" s="2">
        <v>0</v>
      </c>
      <c r="J8" s="2">
        <v>0</v>
      </c>
      <c r="K8" s="2">
        <v>0</v>
      </c>
      <c r="L8" s="2">
        <v>0</v>
      </c>
      <c r="M8" s="2">
        <v>0</v>
      </c>
      <c r="N8" s="2">
        <v>0</v>
      </c>
      <c r="O8" s="2">
        <v>0</v>
      </c>
      <c r="P8" s="2">
        <v>0</v>
      </c>
      <c r="Q8" s="2">
        <v>0</v>
      </c>
      <c r="R8" s="2">
        <v>0</v>
      </c>
      <c r="S8" s="2">
        <v>0</v>
      </c>
      <c r="T8" s="2">
        <v>0</v>
      </c>
      <c r="U8" s="2">
        <v>0</v>
      </c>
      <c r="V8" s="2">
        <v>0</v>
      </c>
      <c r="W8" s="5">
        <f t="shared" si="0"/>
        <v>-100</v>
      </c>
      <c r="X8" s="2">
        <f t="shared" si="1"/>
        <v>-100</v>
      </c>
    </row>
    <row r="9" spans="1:24" ht="16.5" thickTop="1" thickBot="1" x14ac:dyDescent="0.3">
      <c r="A9" s="4">
        <v>44774</v>
      </c>
      <c r="B9" s="2">
        <v>0</v>
      </c>
      <c r="C9" s="2">
        <v>0</v>
      </c>
      <c r="D9" s="2">
        <v>0</v>
      </c>
      <c r="E9" s="2">
        <v>0</v>
      </c>
      <c r="F9" s="2">
        <v>0</v>
      </c>
      <c r="G9" s="2">
        <v>0</v>
      </c>
      <c r="H9" s="2">
        <v>0</v>
      </c>
      <c r="I9" s="2">
        <v>0</v>
      </c>
      <c r="J9" s="2">
        <v>0</v>
      </c>
      <c r="K9" s="2">
        <v>0</v>
      </c>
      <c r="L9" s="2">
        <v>0</v>
      </c>
      <c r="M9" s="2">
        <v>0</v>
      </c>
      <c r="N9" s="2">
        <v>0</v>
      </c>
      <c r="O9" s="2">
        <v>0</v>
      </c>
      <c r="P9" s="2">
        <v>0</v>
      </c>
      <c r="Q9" s="2">
        <v>0</v>
      </c>
      <c r="R9" s="2">
        <v>0</v>
      </c>
      <c r="S9" s="2">
        <v>0</v>
      </c>
      <c r="T9" s="2">
        <v>0</v>
      </c>
      <c r="U9" s="2">
        <v>0</v>
      </c>
      <c r="V9" s="2">
        <v>0</v>
      </c>
      <c r="W9" s="5">
        <f t="shared" si="0"/>
        <v>0</v>
      </c>
      <c r="X9" s="2">
        <f t="shared" si="1"/>
        <v>0</v>
      </c>
    </row>
    <row r="10" spans="1:24" ht="16.5" thickTop="1" thickBot="1" x14ac:dyDescent="0.3">
      <c r="A10" s="4">
        <v>44805</v>
      </c>
      <c r="B10" s="2">
        <v>0</v>
      </c>
      <c r="C10" s="2">
        <v>0</v>
      </c>
      <c r="D10" s="2">
        <v>0</v>
      </c>
      <c r="E10" s="2">
        <v>0</v>
      </c>
      <c r="F10" s="2">
        <v>0</v>
      </c>
      <c r="G10" s="2">
        <v>0</v>
      </c>
      <c r="H10" s="2">
        <v>0</v>
      </c>
      <c r="I10" s="2">
        <v>0</v>
      </c>
      <c r="J10" s="2">
        <v>0</v>
      </c>
      <c r="K10" s="2">
        <v>0</v>
      </c>
      <c r="L10" s="2">
        <v>0</v>
      </c>
      <c r="M10" s="30">
        <v>-20</v>
      </c>
      <c r="N10" s="2">
        <v>0</v>
      </c>
      <c r="O10" s="2">
        <v>0</v>
      </c>
      <c r="P10" s="2">
        <v>0</v>
      </c>
      <c r="Q10" s="2">
        <v>0</v>
      </c>
      <c r="R10" s="2">
        <v>0</v>
      </c>
      <c r="S10" s="2">
        <v>0</v>
      </c>
      <c r="T10" s="2">
        <v>0</v>
      </c>
      <c r="U10" s="2">
        <v>0</v>
      </c>
      <c r="V10" s="2">
        <v>0</v>
      </c>
      <c r="W10" s="5">
        <f t="shared" si="0"/>
        <v>-20</v>
      </c>
      <c r="X10" s="2">
        <f t="shared" si="1"/>
        <v>-20</v>
      </c>
    </row>
    <row r="11" spans="1:24" ht="16.5" thickTop="1" thickBot="1" x14ac:dyDescent="0.3">
      <c r="A11" s="4">
        <v>44835</v>
      </c>
      <c r="B11" s="2">
        <v>0</v>
      </c>
      <c r="C11" s="2">
        <v>0</v>
      </c>
      <c r="D11" s="2">
        <v>0</v>
      </c>
      <c r="E11" s="2">
        <v>0</v>
      </c>
      <c r="F11" s="2">
        <v>0</v>
      </c>
      <c r="G11" s="2">
        <v>0</v>
      </c>
      <c r="H11" s="2">
        <v>0</v>
      </c>
      <c r="I11" s="2">
        <v>0</v>
      </c>
      <c r="J11" s="2">
        <v>0</v>
      </c>
      <c r="K11" s="2">
        <v>0</v>
      </c>
      <c r="L11" s="2">
        <v>0</v>
      </c>
      <c r="M11" s="2">
        <v>0</v>
      </c>
      <c r="N11" s="2">
        <v>0</v>
      </c>
      <c r="O11" s="2">
        <v>0</v>
      </c>
      <c r="P11" s="2">
        <v>0</v>
      </c>
      <c r="Q11" s="2">
        <v>0</v>
      </c>
      <c r="R11" s="2">
        <v>0</v>
      </c>
      <c r="S11" s="2">
        <v>0</v>
      </c>
      <c r="T11" s="2">
        <v>0</v>
      </c>
      <c r="U11" s="2">
        <v>0</v>
      </c>
      <c r="V11" s="2">
        <v>0</v>
      </c>
      <c r="W11" s="5">
        <f t="shared" si="0"/>
        <v>0</v>
      </c>
      <c r="X11" s="2">
        <f t="shared" si="1"/>
        <v>0</v>
      </c>
    </row>
    <row r="12" spans="1:24" ht="16.5" thickTop="1" thickBot="1" x14ac:dyDescent="0.3">
      <c r="A12" s="4">
        <v>44866</v>
      </c>
      <c r="B12" s="2">
        <v>0</v>
      </c>
      <c r="C12" s="2">
        <v>0</v>
      </c>
      <c r="D12" s="2">
        <v>0</v>
      </c>
      <c r="E12" s="2">
        <v>0</v>
      </c>
      <c r="F12" s="2">
        <v>0</v>
      </c>
      <c r="G12" s="2">
        <v>0</v>
      </c>
      <c r="H12" s="2">
        <v>0</v>
      </c>
      <c r="I12" s="2">
        <v>0</v>
      </c>
      <c r="J12" s="2">
        <v>0</v>
      </c>
      <c r="K12" s="2">
        <v>0</v>
      </c>
      <c r="L12" s="2">
        <v>0</v>
      </c>
      <c r="M12" s="2">
        <v>0</v>
      </c>
      <c r="N12" s="2">
        <v>0</v>
      </c>
      <c r="O12" s="2">
        <v>0</v>
      </c>
      <c r="P12" s="2">
        <v>0</v>
      </c>
      <c r="Q12" s="2">
        <v>0</v>
      </c>
      <c r="R12" s="2">
        <v>0</v>
      </c>
      <c r="S12" s="2">
        <v>0</v>
      </c>
      <c r="T12" s="2">
        <v>0</v>
      </c>
      <c r="U12" s="2">
        <v>0</v>
      </c>
      <c r="V12" s="30">
        <v>-10</v>
      </c>
      <c r="W12" s="5">
        <f t="shared" si="0"/>
        <v>-10</v>
      </c>
      <c r="X12" s="2">
        <f t="shared" si="1"/>
        <v>-10</v>
      </c>
    </row>
    <row r="13" spans="1:24" ht="16.5" thickTop="1" thickBot="1" x14ac:dyDescent="0.3">
      <c r="A13" s="4">
        <v>44896</v>
      </c>
      <c r="B13" s="2">
        <v>0</v>
      </c>
      <c r="C13" s="2">
        <v>0</v>
      </c>
      <c r="D13" s="2">
        <v>0</v>
      </c>
      <c r="E13" s="2">
        <v>0</v>
      </c>
      <c r="F13" s="2">
        <v>0</v>
      </c>
      <c r="G13" s="2">
        <v>0</v>
      </c>
      <c r="H13" s="2">
        <v>0</v>
      </c>
      <c r="I13" s="2">
        <v>0</v>
      </c>
      <c r="J13" s="2">
        <v>0</v>
      </c>
      <c r="K13" s="2">
        <v>0</v>
      </c>
      <c r="L13" s="2">
        <v>0</v>
      </c>
      <c r="M13" s="2">
        <v>0</v>
      </c>
      <c r="N13" s="2">
        <v>0</v>
      </c>
      <c r="O13" s="2">
        <v>0</v>
      </c>
      <c r="P13" s="2">
        <v>0</v>
      </c>
      <c r="Q13" s="2">
        <v>0</v>
      </c>
      <c r="R13" s="2">
        <v>0</v>
      </c>
      <c r="S13" s="2">
        <v>0</v>
      </c>
      <c r="T13" s="2">
        <v>0</v>
      </c>
      <c r="U13" s="2">
        <v>0</v>
      </c>
      <c r="V13" s="2">
        <v>0</v>
      </c>
      <c r="W13" s="5">
        <f t="shared" si="0"/>
        <v>0</v>
      </c>
      <c r="X13" s="2">
        <f t="shared" si="1"/>
        <v>0</v>
      </c>
    </row>
    <row r="14" spans="1:24" ht="17.25" thickTop="1" thickBot="1" x14ac:dyDescent="0.3">
      <c r="B14" s="5">
        <f t="shared" ref="B14:V14" si="2">SUM(B2:B13)</f>
        <v>1000</v>
      </c>
      <c r="C14" s="5">
        <f t="shared" si="2"/>
        <v>400</v>
      </c>
      <c r="D14" s="5">
        <f t="shared" si="2"/>
        <v>-500</v>
      </c>
      <c r="E14" s="5">
        <f t="shared" si="2"/>
        <v>-100</v>
      </c>
      <c r="F14" s="5">
        <f t="shared" si="2"/>
        <v>0</v>
      </c>
      <c r="G14" s="5">
        <f t="shared" si="2"/>
        <v>0</v>
      </c>
      <c r="H14" s="5">
        <f t="shared" si="2"/>
        <v>0</v>
      </c>
      <c r="I14" s="5">
        <f t="shared" si="2"/>
        <v>0</v>
      </c>
      <c r="J14" s="5">
        <f t="shared" si="2"/>
        <v>0</v>
      </c>
      <c r="K14" s="5">
        <f t="shared" si="2"/>
        <v>0</v>
      </c>
      <c r="L14" s="5">
        <f t="shared" si="2"/>
        <v>0</v>
      </c>
      <c r="M14" s="5">
        <f t="shared" si="2"/>
        <v>-20</v>
      </c>
      <c r="N14" s="5">
        <f t="shared" si="2"/>
        <v>0</v>
      </c>
      <c r="O14" s="5">
        <f t="shared" si="2"/>
        <v>0</v>
      </c>
      <c r="P14" s="5">
        <f t="shared" si="2"/>
        <v>0</v>
      </c>
      <c r="Q14" s="5">
        <f t="shared" si="2"/>
        <v>0</v>
      </c>
      <c r="R14" s="5">
        <f t="shared" si="2"/>
        <v>0</v>
      </c>
      <c r="S14" s="5">
        <f t="shared" si="2"/>
        <v>0</v>
      </c>
      <c r="T14" s="5">
        <f t="shared" si="2"/>
        <v>0</v>
      </c>
      <c r="U14" s="5">
        <f t="shared" ref="U14" si="3">SUM(U2:U13)</f>
        <v>0</v>
      </c>
      <c r="V14" s="5">
        <f t="shared" si="2"/>
        <v>-10</v>
      </c>
      <c r="W14" s="13">
        <f>SUM(B2:V13)</f>
        <v>770</v>
      </c>
    </row>
    <row r="15" spans="1:24" ht="21" thickTop="1" thickBot="1" x14ac:dyDescent="0.35">
      <c r="A15" s="12">
        <v>2023</v>
      </c>
      <c r="B15" s="11" t="s">
        <v>4</v>
      </c>
      <c r="C15" s="11" t="s">
        <v>38</v>
      </c>
      <c r="D15" s="11" t="s">
        <v>5</v>
      </c>
      <c r="E15" s="11" t="s">
        <v>6</v>
      </c>
      <c r="F15" s="11" t="s">
        <v>7</v>
      </c>
      <c r="G15" s="11" t="s">
        <v>8</v>
      </c>
      <c r="H15" s="11" t="s">
        <v>9</v>
      </c>
      <c r="I15" s="11" t="s">
        <v>22</v>
      </c>
      <c r="J15" s="11" t="s">
        <v>25</v>
      </c>
      <c r="K15" s="11" t="s">
        <v>21</v>
      </c>
      <c r="L15" s="11" t="s">
        <v>18</v>
      </c>
      <c r="M15" s="11" t="s">
        <v>10</v>
      </c>
      <c r="N15" s="11" t="s">
        <v>11</v>
      </c>
      <c r="O15" s="11" t="s">
        <v>12</v>
      </c>
      <c r="P15" s="11" t="s">
        <v>13</v>
      </c>
      <c r="Q15" s="11" t="s">
        <v>14</v>
      </c>
      <c r="R15" s="11" t="s">
        <v>15</v>
      </c>
      <c r="S15" s="11" t="s">
        <v>23</v>
      </c>
      <c r="T15" s="11" t="s">
        <v>24</v>
      </c>
      <c r="U15" s="11" t="s">
        <v>39</v>
      </c>
      <c r="V15" s="11" t="s">
        <v>36</v>
      </c>
    </row>
    <row r="16" spans="1:24" ht="16.5" thickTop="1" thickBot="1" x14ac:dyDescent="0.3">
      <c r="A16" s="4">
        <v>44927</v>
      </c>
      <c r="B16" s="2">
        <v>0</v>
      </c>
      <c r="C16" s="2">
        <v>0</v>
      </c>
      <c r="D16" s="2">
        <v>0</v>
      </c>
      <c r="E16" s="2">
        <v>0</v>
      </c>
      <c r="F16" s="2">
        <v>0</v>
      </c>
      <c r="G16" s="2">
        <v>0</v>
      </c>
      <c r="H16" s="2">
        <v>0</v>
      </c>
      <c r="I16" s="2">
        <v>0</v>
      </c>
      <c r="J16" s="2">
        <v>0</v>
      </c>
      <c r="K16" s="2">
        <v>0</v>
      </c>
      <c r="L16" s="2">
        <v>0</v>
      </c>
      <c r="M16" s="2">
        <v>0</v>
      </c>
      <c r="N16" s="2">
        <v>0</v>
      </c>
      <c r="O16" s="2">
        <v>0</v>
      </c>
      <c r="P16" s="2">
        <v>0</v>
      </c>
      <c r="Q16" s="2">
        <v>0</v>
      </c>
      <c r="R16" s="2">
        <v>0</v>
      </c>
      <c r="S16" s="2">
        <v>0</v>
      </c>
      <c r="T16" s="2">
        <v>0</v>
      </c>
      <c r="U16" s="2">
        <v>0</v>
      </c>
      <c r="V16" s="2">
        <v>0</v>
      </c>
      <c r="W16" s="5">
        <f t="shared" ref="W16:W27" si="4">SUM(B16:V16)</f>
        <v>0</v>
      </c>
    </row>
    <row r="17" spans="1:24" ht="16.5" thickTop="1" thickBot="1" x14ac:dyDescent="0.3">
      <c r="A17" s="4">
        <v>44958</v>
      </c>
      <c r="B17" s="30">
        <v>1000</v>
      </c>
      <c r="C17" s="2">
        <v>0</v>
      </c>
      <c r="D17" s="2">
        <v>0</v>
      </c>
      <c r="E17" s="2">
        <v>0</v>
      </c>
      <c r="F17" s="2">
        <v>0</v>
      </c>
      <c r="G17" s="2">
        <v>0</v>
      </c>
      <c r="H17" s="2">
        <v>0</v>
      </c>
      <c r="I17" s="2">
        <v>0</v>
      </c>
      <c r="J17" s="2">
        <v>0</v>
      </c>
      <c r="K17" s="2">
        <v>0</v>
      </c>
      <c r="L17" s="2">
        <v>0</v>
      </c>
      <c r="M17" s="2">
        <v>0</v>
      </c>
      <c r="N17" s="2">
        <v>0</v>
      </c>
      <c r="O17" s="2">
        <v>0</v>
      </c>
      <c r="P17" s="2">
        <v>0</v>
      </c>
      <c r="Q17" s="2">
        <v>0</v>
      </c>
      <c r="R17" s="2">
        <v>0</v>
      </c>
      <c r="S17" s="2">
        <v>0</v>
      </c>
      <c r="T17" s="2">
        <v>0</v>
      </c>
      <c r="U17" s="2">
        <v>0</v>
      </c>
      <c r="V17" s="2">
        <v>0</v>
      </c>
      <c r="W17" s="5">
        <f t="shared" si="4"/>
        <v>1000</v>
      </c>
      <c r="X17" s="2">
        <f t="shared" ref="X17:X27" si="5">SUM(E17:V17)</f>
        <v>0</v>
      </c>
    </row>
    <row r="18" spans="1:24" ht="16.5" thickTop="1" thickBot="1" x14ac:dyDescent="0.3">
      <c r="A18" s="4">
        <v>44986</v>
      </c>
      <c r="B18" s="2">
        <v>0</v>
      </c>
      <c r="C18" s="2">
        <v>0</v>
      </c>
      <c r="D18" s="2">
        <v>0</v>
      </c>
      <c r="E18" s="2">
        <v>0</v>
      </c>
      <c r="F18" s="2">
        <v>0</v>
      </c>
      <c r="G18" s="2">
        <v>0</v>
      </c>
      <c r="H18" s="2">
        <v>0</v>
      </c>
      <c r="I18" s="2">
        <v>0</v>
      </c>
      <c r="J18" s="2">
        <v>0</v>
      </c>
      <c r="K18" s="2">
        <v>0</v>
      </c>
      <c r="L18" s="2">
        <v>0</v>
      </c>
      <c r="M18" s="2">
        <v>0</v>
      </c>
      <c r="N18" s="2">
        <v>0</v>
      </c>
      <c r="O18" s="2">
        <v>0</v>
      </c>
      <c r="P18" s="2">
        <v>0</v>
      </c>
      <c r="Q18" s="2">
        <v>0</v>
      </c>
      <c r="R18" s="2">
        <v>0</v>
      </c>
      <c r="S18" s="2">
        <v>0</v>
      </c>
      <c r="T18" s="2">
        <v>0</v>
      </c>
      <c r="U18" s="2">
        <v>0</v>
      </c>
      <c r="V18" s="2">
        <v>0</v>
      </c>
      <c r="W18" s="5">
        <f t="shared" si="4"/>
        <v>0</v>
      </c>
      <c r="X18" s="2">
        <f t="shared" si="5"/>
        <v>0</v>
      </c>
    </row>
    <row r="19" spans="1:24" ht="16.5" thickTop="1" thickBot="1" x14ac:dyDescent="0.3">
      <c r="A19" s="4">
        <v>45017</v>
      </c>
      <c r="B19" s="2">
        <v>0</v>
      </c>
      <c r="C19" s="2">
        <v>0</v>
      </c>
      <c r="D19" s="30">
        <v>-500</v>
      </c>
      <c r="E19" s="2">
        <v>0</v>
      </c>
      <c r="F19" s="2">
        <v>0</v>
      </c>
      <c r="G19" s="2">
        <v>0</v>
      </c>
      <c r="H19" s="2">
        <v>0</v>
      </c>
      <c r="I19" s="2">
        <v>0</v>
      </c>
      <c r="J19" s="2">
        <v>0</v>
      </c>
      <c r="K19" s="2">
        <v>0</v>
      </c>
      <c r="L19" s="2">
        <v>0</v>
      </c>
      <c r="M19" s="2">
        <v>0</v>
      </c>
      <c r="N19" s="2">
        <v>0</v>
      </c>
      <c r="O19" s="2">
        <v>0</v>
      </c>
      <c r="P19" s="2">
        <v>0</v>
      </c>
      <c r="Q19" s="2">
        <v>0</v>
      </c>
      <c r="R19" s="2">
        <v>0</v>
      </c>
      <c r="S19" s="2">
        <v>0</v>
      </c>
      <c r="T19" s="2">
        <v>0</v>
      </c>
      <c r="U19" s="2">
        <v>0</v>
      </c>
      <c r="V19" s="2">
        <v>0</v>
      </c>
      <c r="W19" s="5">
        <f t="shared" si="4"/>
        <v>-500</v>
      </c>
      <c r="X19" s="2">
        <f t="shared" si="5"/>
        <v>0</v>
      </c>
    </row>
    <row r="20" spans="1:24" ht="16.5" thickTop="1" thickBot="1" x14ac:dyDescent="0.3">
      <c r="A20" s="4">
        <v>45047</v>
      </c>
      <c r="B20" s="2">
        <v>0</v>
      </c>
      <c r="C20" s="2">
        <v>0</v>
      </c>
      <c r="D20" s="2">
        <v>0</v>
      </c>
      <c r="E20" s="2">
        <v>0</v>
      </c>
      <c r="F20" s="2">
        <v>0</v>
      </c>
      <c r="G20" s="2">
        <v>0</v>
      </c>
      <c r="H20" s="2">
        <v>0</v>
      </c>
      <c r="I20" s="2">
        <v>0</v>
      </c>
      <c r="J20" s="2">
        <v>0</v>
      </c>
      <c r="K20" s="2">
        <v>0</v>
      </c>
      <c r="L20" s="2">
        <v>0</v>
      </c>
      <c r="M20" s="2">
        <v>0</v>
      </c>
      <c r="N20" s="2">
        <v>0</v>
      </c>
      <c r="O20" s="2">
        <v>0</v>
      </c>
      <c r="P20" s="2">
        <v>0</v>
      </c>
      <c r="Q20" s="2">
        <v>0</v>
      </c>
      <c r="R20" s="2">
        <v>0</v>
      </c>
      <c r="S20" s="2">
        <v>0</v>
      </c>
      <c r="T20" s="2">
        <v>0</v>
      </c>
      <c r="U20" s="2">
        <v>0</v>
      </c>
      <c r="V20" s="2">
        <v>0</v>
      </c>
      <c r="W20" s="5">
        <f t="shared" si="4"/>
        <v>0</v>
      </c>
      <c r="X20" s="2">
        <f t="shared" si="5"/>
        <v>0</v>
      </c>
    </row>
    <row r="21" spans="1:24" ht="16.5" thickTop="1" thickBot="1" x14ac:dyDescent="0.3">
      <c r="A21" s="4">
        <v>45078</v>
      </c>
      <c r="B21" s="2">
        <v>0</v>
      </c>
      <c r="C21" s="2">
        <v>0</v>
      </c>
      <c r="D21" s="2">
        <v>0</v>
      </c>
      <c r="E21" s="2">
        <v>0</v>
      </c>
      <c r="F21" s="2">
        <v>0</v>
      </c>
      <c r="G21" s="2">
        <v>0</v>
      </c>
      <c r="H21" s="2">
        <v>0</v>
      </c>
      <c r="I21" s="2">
        <v>0</v>
      </c>
      <c r="J21" s="2">
        <v>0</v>
      </c>
      <c r="K21" s="2">
        <v>0</v>
      </c>
      <c r="L21" s="2">
        <v>0</v>
      </c>
      <c r="M21" s="2">
        <v>0</v>
      </c>
      <c r="N21" s="2">
        <v>0</v>
      </c>
      <c r="O21" s="2">
        <v>0</v>
      </c>
      <c r="P21" s="2">
        <v>0</v>
      </c>
      <c r="Q21" s="2">
        <v>0</v>
      </c>
      <c r="R21" s="2">
        <v>0</v>
      </c>
      <c r="S21" s="2">
        <v>0</v>
      </c>
      <c r="T21" s="2">
        <v>0</v>
      </c>
      <c r="U21" s="2">
        <v>0</v>
      </c>
      <c r="V21" s="2">
        <v>0</v>
      </c>
      <c r="W21" s="5">
        <f t="shared" si="4"/>
        <v>0</v>
      </c>
      <c r="X21" s="2">
        <f t="shared" si="5"/>
        <v>0</v>
      </c>
    </row>
    <row r="22" spans="1:24" ht="16.5" thickTop="1" thickBot="1" x14ac:dyDescent="0.3">
      <c r="A22" s="4">
        <v>45108</v>
      </c>
      <c r="B22" s="2">
        <v>0</v>
      </c>
      <c r="C22" s="2">
        <v>0</v>
      </c>
      <c r="D22" s="2">
        <v>0</v>
      </c>
      <c r="E22" s="2">
        <v>0</v>
      </c>
      <c r="F22" s="2">
        <v>0</v>
      </c>
      <c r="G22" s="2">
        <v>0</v>
      </c>
      <c r="H22" s="2">
        <v>0</v>
      </c>
      <c r="I22" s="2">
        <v>0</v>
      </c>
      <c r="J22" s="2">
        <v>0</v>
      </c>
      <c r="K22" s="2">
        <v>0</v>
      </c>
      <c r="L22" s="2">
        <v>0</v>
      </c>
      <c r="M22" s="2">
        <v>0</v>
      </c>
      <c r="N22" s="2">
        <v>0</v>
      </c>
      <c r="O22" s="2">
        <v>0</v>
      </c>
      <c r="P22" s="2">
        <v>0</v>
      </c>
      <c r="Q22" s="2">
        <v>0</v>
      </c>
      <c r="R22" s="2">
        <v>0</v>
      </c>
      <c r="S22" s="2">
        <v>0</v>
      </c>
      <c r="T22" s="2">
        <v>0</v>
      </c>
      <c r="U22" s="2">
        <v>0</v>
      </c>
      <c r="V22" s="2">
        <v>0</v>
      </c>
      <c r="W22" s="5">
        <f t="shared" si="4"/>
        <v>0</v>
      </c>
      <c r="X22" s="2">
        <f t="shared" si="5"/>
        <v>0</v>
      </c>
    </row>
    <row r="23" spans="1:24" ht="16.5" thickTop="1" thickBot="1" x14ac:dyDescent="0.3">
      <c r="A23" s="4">
        <v>45139</v>
      </c>
      <c r="B23" s="2">
        <v>0</v>
      </c>
      <c r="C23" s="2">
        <v>0</v>
      </c>
      <c r="D23" s="2">
        <v>0</v>
      </c>
      <c r="E23" s="30">
        <v>-100</v>
      </c>
      <c r="F23" s="2">
        <v>0</v>
      </c>
      <c r="G23" s="2">
        <v>0</v>
      </c>
      <c r="H23" s="2">
        <v>0</v>
      </c>
      <c r="I23" s="2">
        <v>0</v>
      </c>
      <c r="J23" s="2">
        <v>0</v>
      </c>
      <c r="K23" s="2">
        <v>0</v>
      </c>
      <c r="L23" s="2">
        <v>0</v>
      </c>
      <c r="M23" s="2">
        <v>0</v>
      </c>
      <c r="N23" s="2">
        <v>0</v>
      </c>
      <c r="O23" s="2">
        <v>0</v>
      </c>
      <c r="P23" s="2">
        <v>0</v>
      </c>
      <c r="Q23" s="2">
        <v>0</v>
      </c>
      <c r="R23" s="2">
        <v>0</v>
      </c>
      <c r="S23" s="2">
        <v>0</v>
      </c>
      <c r="T23" s="2">
        <v>0</v>
      </c>
      <c r="U23" s="2">
        <v>0</v>
      </c>
      <c r="V23" s="2">
        <v>0</v>
      </c>
      <c r="W23" s="5">
        <f t="shared" si="4"/>
        <v>-100</v>
      </c>
      <c r="X23" s="2">
        <f t="shared" si="5"/>
        <v>-100</v>
      </c>
    </row>
    <row r="24" spans="1:24" ht="16.5" thickTop="1" thickBot="1" x14ac:dyDescent="0.3">
      <c r="A24" s="4">
        <v>45170</v>
      </c>
      <c r="B24" s="2">
        <v>0</v>
      </c>
      <c r="C24" s="2">
        <v>0</v>
      </c>
      <c r="D24" s="2">
        <v>0</v>
      </c>
      <c r="E24" s="2">
        <v>0</v>
      </c>
      <c r="F24" s="2">
        <v>0</v>
      </c>
      <c r="G24" s="2">
        <v>0</v>
      </c>
      <c r="H24" s="2">
        <v>0</v>
      </c>
      <c r="I24" s="2">
        <v>0</v>
      </c>
      <c r="J24" s="2">
        <v>0</v>
      </c>
      <c r="K24" s="2">
        <v>0</v>
      </c>
      <c r="L24" s="2">
        <v>0</v>
      </c>
      <c r="M24" s="2">
        <v>0</v>
      </c>
      <c r="N24" s="2">
        <v>0</v>
      </c>
      <c r="O24" s="2">
        <v>0</v>
      </c>
      <c r="P24" s="2">
        <v>0</v>
      </c>
      <c r="Q24" s="2">
        <v>0</v>
      </c>
      <c r="R24" s="2">
        <v>0</v>
      </c>
      <c r="S24" s="2">
        <v>0</v>
      </c>
      <c r="T24" s="2">
        <v>0</v>
      </c>
      <c r="U24" s="2">
        <v>0</v>
      </c>
      <c r="V24" s="2">
        <v>0</v>
      </c>
      <c r="W24" s="5">
        <f t="shared" si="4"/>
        <v>0</v>
      </c>
      <c r="X24" s="2">
        <f t="shared" si="5"/>
        <v>0</v>
      </c>
    </row>
    <row r="25" spans="1:24" ht="16.5" thickTop="1" thickBot="1" x14ac:dyDescent="0.3">
      <c r="A25" s="4">
        <v>45200</v>
      </c>
      <c r="B25" s="2">
        <v>0</v>
      </c>
      <c r="C25" s="2">
        <v>0</v>
      </c>
      <c r="D25" s="2">
        <v>0</v>
      </c>
      <c r="E25" s="2">
        <v>0</v>
      </c>
      <c r="F25" s="2">
        <v>0</v>
      </c>
      <c r="G25" s="2">
        <v>0</v>
      </c>
      <c r="H25" s="2">
        <v>0</v>
      </c>
      <c r="I25" s="2">
        <v>0</v>
      </c>
      <c r="J25" s="2">
        <v>0</v>
      </c>
      <c r="K25" s="2">
        <v>0</v>
      </c>
      <c r="L25" s="2">
        <v>0</v>
      </c>
      <c r="M25" s="30">
        <v>-20</v>
      </c>
      <c r="N25" s="2">
        <v>0</v>
      </c>
      <c r="O25" s="2">
        <v>0</v>
      </c>
      <c r="P25" s="2">
        <v>0</v>
      </c>
      <c r="Q25" s="2">
        <v>0</v>
      </c>
      <c r="R25" s="2">
        <v>0</v>
      </c>
      <c r="S25" s="2">
        <v>0</v>
      </c>
      <c r="T25" s="2">
        <v>0</v>
      </c>
      <c r="U25" s="2">
        <v>0</v>
      </c>
      <c r="V25" s="2">
        <v>0</v>
      </c>
      <c r="W25" s="5">
        <f t="shared" si="4"/>
        <v>-20</v>
      </c>
      <c r="X25" s="2">
        <f t="shared" si="5"/>
        <v>-20</v>
      </c>
    </row>
    <row r="26" spans="1:24" ht="16.5" thickTop="1" thickBot="1" x14ac:dyDescent="0.3">
      <c r="A26" s="4">
        <v>45231</v>
      </c>
      <c r="B26" s="2">
        <v>0</v>
      </c>
      <c r="C26" s="2">
        <v>0</v>
      </c>
      <c r="D26" s="2">
        <v>0</v>
      </c>
      <c r="E26" s="2">
        <v>0</v>
      </c>
      <c r="F26" s="2">
        <v>0</v>
      </c>
      <c r="G26" s="2">
        <v>0</v>
      </c>
      <c r="H26" s="2">
        <v>0</v>
      </c>
      <c r="I26" s="2">
        <v>0</v>
      </c>
      <c r="J26" s="2">
        <v>0</v>
      </c>
      <c r="K26" s="2">
        <v>0</v>
      </c>
      <c r="L26" s="2">
        <v>0</v>
      </c>
      <c r="M26" s="2">
        <v>0</v>
      </c>
      <c r="N26" s="2">
        <v>0</v>
      </c>
      <c r="O26" s="2">
        <v>0</v>
      </c>
      <c r="P26" s="2">
        <v>0</v>
      </c>
      <c r="Q26" s="2">
        <v>0</v>
      </c>
      <c r="R26" s="2">
        <v>0</v>
      </c>
      <c r="S26" s="2">
        <v>0</v>
      </c>
      <c r="T26" s="2">
        <v>0</v>
      </c>
      <c r="U26" s="2">
        <v>0</v>
      </c>
      <c r="V26" s="2">
        <v>0</v>
      </c>
      <c r="W26" s="5">
        <f t="shared" si="4"/>
        <v>0</v>
      </c>
      <c r="X26" s="2">
        <f t="shared" si="5"/>
        <v>0</v>
      </c>
    </row>
    <row r="27" spans="1:24" ht="16.5" thickTop="1" thickBot="1" x14ac:dyDescent="0.3">
      <c r="A27" s="4">
        <v>45261</v>
      </c>
      <c r="B27" s="2">
        <v>0</v>
      </c>
      <c r="C27" s="2">
        <v>0</v>
      </c>
      <c r="D27" s="2">
        <v>0</v>
      </c>
      <c r="E27" s="2">
        <v>0</v>
      </c>
      <c r="F27" s="2">
        <v>0</v>
      </c>
      <c r="G27" s="2">
        <v>0</v>
      </c>
      <c r="H27" s="2">
        <v>0</v>
      </c>
      <c r="I27" s="2">
        <v>0</v>
      </c>
      <c r="J27" s="2">
        <v>0</v>
      </c>
      <c r="K27" s="2">
        <v>0</v>
      </c>
      <c r="L27" s="2">
        <v>0</v>
      </c>
      <c r="M27" s="2">
        <v>0</v>
      </c>
      <c r="N27" s="2">
        <v>0</v>
      </c>
      <c r="O27" s="2">
        <v>0</v>
      </c>
      <c r="P27" s="2">
        <v>0</v>
      </c>
      <c r="Q27" s="2">
        <v>0</v>
      </c>
      <c r="R27" s="2">
        <v>0</v>
      </c>
      <c r="S27" s="2">
        <v>0</v>
      </c>
      <c r="T27" s="2">
        <v>0</v>
      </c>
      <c r="U27" s="2">
        <v>0</v>
      </c>
      <c r="V27" s="30">
        <v>-10</v>
      </c>
      <c r="W27" s="5">
        <f t="shared" si="4"/>
        <v>-10</v>
      </c>
      <c r="X27" s="2">
        <f t="shared" si="5"/>
        <v>-10</v>
      </c>
    </row>
    <row r="28" spans="1:24" ht="17.25" thickTop="1" thickBot="1" x14ac:dyDescent="0.3">
      <c r="B28" s="5">
        <f>SUM(B16:B27)</f>
        <v>1000</v>
      </c>
      <c r="C28" s="5">
        <f>SUM(C16:C27)</f>
        <v>0</v>
      </c>
      <c r="D28" s="5">
        <f t="shared" ref="D28:V28" si="6">SUM(D16:D27)</f>
        <v>-500</v>
      </c>
      <c r="E28" s="5">
        <f t="shared" si="6"/>
        <v>-100</v>
      </c>
      <c r="F28" s="5">
        <f t="shared" si="6"/>
        <v>0</v>
      </c>
      <c r="G28" s="5">
        <f t="shared" si="6"/>
        <v>0</v>
      </c>
      <c r="H28" s="5">
        <f t="shared" si="6"/>
        <v>0</v>
      </c>
      <c r="I28" s="5">
        <f t="shared" si="6"/>
        <v>0</v>
      </c>
      <c r="J28" s="5">
        <f t="shared" si="6"/>
        <v>0</v>
      </c>
      <c r="K28" s="5">
        <f t="shared" si="6"/>
        <v>0</v>
      </c>
      <c r="L28" s="5">
        <f t="shared" si="6"/>
        <v>0</v>
      </c>
      <c r="M28" s="5">
        <f t="shared" si="6"/>
        <v>-20</v>
      </c>
      <c r="N28" s="5">
        <f t="shared" si="6"/>
        <v>0</v>
      </c>
      <c r="O28" s="5">
        <f t="shared" si="6"/>
        <v>0</v>
      </c>
      <c r="P28" s="5">
        <f t="shared" si="6"/>
        <v>0</v>
      </c>
      <c r="Q28" s="5">
        <f t="shared" si="6"/>
        <v>0</v>
      </c>
      <c r="R28" s="5">
        <f t="shared" si="6"/>
        <v>0</v>
      </c>
      <c r="S28" s="5">
        <f t="shared" si="6"/>
        <v>0</v>
      </c>
      <c r="T28" s="5">
        <f t="shared" si="6"/>
        <v>0</v>
      </c>
      <c r="U28" s="5">
        <f t="shared" ref="U28" si="7">SUM(U16:U27)</f>
        <v>0</v>
      </c>
      <c r="V28" s="5">
        <f t="shared" si="6"/>
        <v>-10</v>
      </c>
      <c r="W28" s="13">
        <f>SUM(B16:V27)</f>
        <v>370</v>
      </c>
    </row>
    <row r="29" spans="1:24" ht="15.75" thickTop="1" x14ac:dyDescent="0.25"/>
  </sheetData>
  <pageMargins left="0.7" right="0.7" top="0.75" bottom="0.75" header="0.3" footer="0.3"/>
  <pageSetup orientation="portrait" horizontalDpi="4294967293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B2ECBD-A4FB-417B-A901-2917299F8A94}">
  <sheetPr codeName="Sheet2"/>
  <dimension ref="A1:L7"/>
  <sheetViews>
    <sheetView tabSelected="1" workbookViewId="0">
      <selection activeCell="F11" sqref="F11"/>
    </sheetView>
  </sheetViews>
  <sheetFormatPr defaultColWidth="12.28515625" defaultRowHeight="15" x14ac:dyDescent="0.25"/>
  <cols>
    <col min="1" max="1" width="12.42578125" bestFit="1" customWidth="1"/>
    <col min="2" max="2" width="13.140625" bestFit="1" customWidth="1"/>
    <col min="6" max="6" width="13.42578125" bestFit="1" customWidth="1"/>
  </cols>
  <sheetData>
    <row r="1" spans="1:12" x14ac:dyDescent="0.25">
      <c r="A1" s="19" t="s">
        <v>29</v>
      </c>
      <c r="B1" s="19" t="s">
        <v>30</v>
      </c>
      <c r="C1" s="19" t="s">
        <v>27</v>
      </c>
      <c r="D1" s="19" t="s">
        <v>33</v>
      </c>
      <c r="E1" s="19" t="s">
        <v>34</v>
      </c>
      <c r="F1" s="19" t="s">
        <v>37</v>
      </c>
      <c r="G1" s="19" t="s">
        <v>35</v>
      </c>
      <c r="I1" s="23" t="s">
        <v>33</v>
      </c>
      <c r="J1" s="23" t="s">
        <v>34</v>
      </c>
      <c r="K1" s="23" t="s">
        <v>35</v>
      </c>
      <c r="L1" s="15"/>
    </row>
    <row r="2" spans="1:12" x14ac:dyDescent="0.25">
      <c r="A2" s="1">
        <v>44562</v>
      </c>
      <c r="B2" s="1">
        <v>44757</v>
      </c>
      <c r="C2" s="21" t="s">
        <v>28</v>
      </c>
      <c r="D2" s="2">
        <v>1000</v>
      </c>
      <c r="E2" s="15">
        <v>900</v>
      </c>
      <c r="F2" s="15">
        <v>900</v>
      </c>
      <c r="G2" s="18">
        <f t="shared" ref="G2:G4" si="0">D2+E2</f>
        <v>1900</v>
      </c>
      <c r="H2" s="36">
        <f t="shared" ref="H2" si="1">G2+G4</f>
        <v>3290</v>
      </c>
      <c r="I2" s="2">
        <f>(SUMIFS(Input[Amount], Input[Split], "2", Input[Date], "&gt;=" &amp;Accounts!A2, Input[Date], "&lt;=" &amp;Accounts!B2, Input[Account], C2) / 2 +
SUMIFS(Input[Amount], Input[Split], "-1", Input[Date], "&gt;=" &amp;Accounts!A2, Input[Date], "&lt;=" &amp;Accounts!B2, Input[Account], C2))
* -1</f>
        <v>-50</v>
      </c>
      <c r="J2" s="36">
        <f>310</f>
        <v>310</v>
      </c>
      <c r="K2" s="26">
        <f t="shared" ref="K2:K4" si="2">I2+J2</f>
        <v>260</v>
      </c>
      <c r="L2" s="34">
        <f>SUM(K2:K4)</f>
        <v>0</v>
      </c>
    </row>
    <row r="3" spans="1:12" x14ac:dyDescent="0.25">
      <c r="A3" s="1">
        <v>44625</v>
      </c>
      <c r="B3" s="1">
        <v>44824</v>
      </c>
      <c r="C3" s="21" t="s">
        <v>31</v>
      </c>
      <c r="D3" s="29">
        <v>1000</v>
      </c>
      <c r="E3" s="15">
        <v>-550</v>
      </c>
      <c r="F3" s="15">
        <v>-550</v>
      </c>
      <c r="G3" s="18">
        <f t="shared" si="0"/>
        <v>450</v>
      </c>
      <c r="H3" s="37"/>
      <c r="I3" s="2">
        <f>(SUMIFS(Input[Amount], Input[Split], "2", Input[Date], "&gt;=" &amp;Accounts!A3, Input[Date], "&lt;=" &amp;Accounts!B3, Input[Account], C3) / 2 +
SUMIFS(Input[Amount], Input[Split], "-1", Input[Date], "&gt;=" &amp;Accounts!A3, Input[Date], "&lt;=" &amp;Accounts!B3, Input[Account], C3))
* -1</f>
        <v>-250</v>
      </c>
      <c r="J3" s="36"/>
      <c r="K3" s="26">
        <f t="shared" si="2"/>
        <v>-250</v>
      </c>
      <c r="L3" s="34"/>
    </row>
    <row r="4" spans="1:12" x14ac:dyDescent="0.25">
      <c r="A4" s="24">
        <v>44691</v>
      </c>
      <c r="B4" s="24">
        <v>44890</v>
      </c>
      <c r="C4" s="22" t="s">
        <v>32</v>
      </c>
      <c r="D4" s="31">
        <v>1000</v>
      </c>
      <c r="E4" s="33">
        <v>390</v>
      </c>
      <c r="F4" s="33">
        <v>390</v>
      </c>
      <c r="G4" s="20">
        <f t="shared" si="0"/>
        <v>1390</v>
      </c>
      <c r="H4" s="38"/>
      <c r="I4" s="25">
        <f>(SUMIFS(Input[Amount], Input[Split], "2", Input[Date], "&gt;=" &amp;Accounts!A4, Input[Date], "&lt;=" &amp;Accounts!B4, Input[Account], C4) / 2 +
SUMIFS(Input[Amount], Input[Split], "-1", Input[Date], "&gt;=" &amp;Accounts!A4, Input[Date], "&lt;=" &amp;Accounts!B4, Input[Account], C4))
* -1</f>
        <v>-10</v>
      </c>
      <c r="J4" s="39"/>
      <c r="K4" s="27">
        <f t="shared" si="2"/>
        <v>-10</v>
      </c>
      <c r="L4" s="35"/>
    </row>
    <row r="5" spans="1:12" x14ac:dyDescent="0.25">
      <c r="A5" s="1">
        <v>44926</v>
      </c>
      <c r="B5" s="1">
        <v>45154</v>
      </c>
      <c r="C5" s="21" t="s">
        <v>28</v>
      </c>
      <c r="D5" s="2">
        <f>G2</f>
        <v>1900</v>
      </c>
      <c r="E5" s="15">
        <v>536.66999999999996</v>
      </c>
      <c r="F5" s="15">
        <v>636.66999999999996</v>
      </c>
      <c r="G5" s="18">
        <f t="shared" ref="G5:G7" si="3">D5+E5</f>
        <v>2436.67</v>
      </c>
      <c r="H5" s="36">
        <f t="shared" ref="H5" si="4">G5+G7</f>
        <v>3043.34</v>
      </c>
      <c r="I5" s="2">
        <f>(SUMIFS(Input[Amount], Input[Split], "2", Input[Date], "&gt;=" &amp;Accounts!A5, Input[Date], "&lt;=" &amp;Accounts!B5, Input[Account], C5) / 2 +
SUMIFS(Input[Amount], Input[Split], "-1", Input[Date], "&gt;=" &amp;Accounts!A5, Input[Date], "&lt;=" &amp;Accounts!B5, Input[Account], C5))
* -1</f>
        <v>-550</v>
      </c>
      <c r="J5" s="36">
        <v>0</v>
      </c>
      <c r="K5" s="26">
        <f t="shared" ref="K5:K7" si="5">I5+J5</f>
        <v>-550</v>
      </c>
      <c r="L5" s="34">
        <f>SUM(K5:K7)</f>
        <v>-800</v>
      </c>
    </row>
    <row r="6" spans="1:12" x14ac:dyDescent="0.25">
      <c r="A6" s="1">
        <v>44927</v>
      </c>
      <c r="B6" s="1">
        <v>45220</v>
      </c>
      <c r="C6" s="21" t="s">
        <v>31</v>
      </c>
      <c r="D6" s="29">
        <f>G3</f>
        <v>450</v>
      </c>
      <c r="E6" s="15">
        <v>-1168.33</v>
      </c>
      <c r="F6" s="15">
        <v>-1068.33</v>
      </c>
      <c r="G6" s="18">
        <f t="shared" si="3"/>
        <v>-718.32999999999993</v>
      </c>
      <c r="H6" s="37"/>
      <c r="I6" s="2">
        <f>(SUMIFS(Input[Amount], Input[Split], "2", Input[Date], "&gt;=" &amp;Accounts!A6, Input[Date], "&lt;=" &amp;Accounts!B6, Input[Account], C6) / 2 +
SUMIFS(Input[Amount], Input[Split], "-1", Input[Date], "&gt;=" &amp;Accounts!A6, Input[Date], "&lt;=" &amp;Accounts!B6, Input[Account], C6))
* -1</f>
        <v>-250</v>
      </c>
      <c r="J6" s="36"/>
      <c r="K6" s="26">
        <f t="shared" si="5"/>
        <v>-250</v>
      </c>
      <c r="L6" s="34"/>
    </row>
    <row r="7" spans="1:12" x14ac:dyDescent="0.25">
      <c r="A7" s="24">
        <v>45286</v>
      </c>
      <c r="B7" s="24">
        <v>45286</v>
      </c>
      <c r="C7" s="22" t="s">
        <v>32</v>
      </c>
      <c r="D7" s="31">
        <f>G4</f>
        <v>1390</v>
      </c>
      <c r="E7" s="33">
        <v>-783.33</v>
      </c>
      <c r="F7" s="33">
        <v>-783.33</v>
      </c>
      <c r="G7" s="20">
        <f t="shared" si="3"/>
        <v>606.66999999999996</v>
      </c>
      <c r="H7" s="38"/>
      <c r="I7" s="25">
        <f>(SUMIFS(Input[Amount], Input[Split], "2", Input[Date], "&gt;=" &amp;Accounts!A7, Input[Date], "&lt;=" &amp;Accounts!B7, Input[Account], C7) / 2 +
SUMIFS(Input[Amount], Input[Split], "-1", Input[Date], "&gt;=" &amp;Accounts!A7, Input[Date], "&lt;=" &amp;Accounts!B7, Input[Account], C7))
* -1</f>
        <v>0</v>
      </c>
      <c r="J7" s="39"/>
      <c r="K7" s="27">
        <f t="shared" si="5"/>
        <v>0</v>
      </c>
      <c r="L7" s="35"/>
    </row>
  </sheetData>
  <mergeCells count="6">
    <mergeCell ref="L2:L4"/>
    <mergeCell ref="H2:H4"/>
    <mergeCell ref="J2:J4"/>
    <mergeCell ref="H5:H7"/>
    <mergeCell ref="J5:J7"/>
    <mergeCell ref="L5:L7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91FC98-C217-42DD-B495-AFBF6F938EF5}">
  <sheetPr codeName="Sheet5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Entries</vt:lpstr>
      <vt:lpstr>Year Split ($)</vt:lpstr>
      <vt:lpstr>Year Total ($)</vt:lpstr>
      <vt:lpstr>Accounts</vt:lpstr>
      <vt:lpstr>Log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Brendan</dc:creator>
  <cp:lastModifiedBy>Benlolo, Brendan</cp:lastModifiedBy>
  <dcterms:created xsi:type="dcterms:W3CDTF">2022-07-17T23:47:45Z</dcterms:created>
  <dcterms:modified xsi:type="dcterms:W3CDTF">2023-10-16T00:57:54Z</dcterms:modified>
</cp:coreProperties>
</file>